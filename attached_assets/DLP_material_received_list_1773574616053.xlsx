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BEML TNC PC3\Desktop\"/>
    </mc:Choice>
  </mc:AlternateContent>
  <xr:revisionPtr revIDLastSave="0" documentId="13_ncr:1_{F4BD28AE-F8BE-4203-BE33-3768FFBA6021}" xr6:coauthVersionLast="47" xr6:coauthVersionMax="47" xr10:uidLastSave="{00000000-0000-0000-0000-000000000000}"/>
  <bookViews>
    <workbookView xWindow="-120" yWindow="-120" windowWidth="29040" windowHeight="15840" activeTab="9" xr2:uid="{00000000-000D-0000-FFFF-FFFF00000000}"/>
  </bookViews>
  <sheets>
    <sheet name="VCC" sheetId="1" r:id="rId1"/>
    <sheet name="BRAKE" sheetId="5" r:id="rId2"/>
    <sheet name="COUPLER" sheetId="8" r:id="rId3"/>
    <sheet name="PAPIS &amp; CCTV" sheetId="9" r:id="rId4"/>
    <sheet name="INTERIOR LIGHT" sheetId="10" r:id="rId5"/>
    <sheet name="EXTERIOR LIGHT" sheetId="11" r:id="rId6"/>
    <sheet name="PRESSTON" sheetId="12" r:id="rId7"/>
    <sheet name="DOOR" sheetId="6" r:id="rId8"/>
    <sheet name="TRCC" sheetId="4" r:id="rId9"/>
    <sheet name="VAC" sheetId="3" r:id="rId10"/>
    <sheet name="AAL" sheetId="7" r:id="rId11"/>
    <sheet name="PROPULSION" sheetId="13" r:id="rId12"/>
    <sheet name="FDS" sheetId="16" r:id="rId13"/>
    <sheet name="BOGIE" sheetId="17" r:id="rId14"/>
  </sheets>
  <definedNames>
    <definedName name="_xlnm._FilterDatabase" localSheetId="7" hidden="1">DOOR!$A$1:$U$68</definedName>
    <definedName name="_xlnm._FilterDatabase" localSheetId="9" hidden="1">VAC!$B$2:$V$43</definedName>
    <definedName name="_xlnm._FilterDatabase" localSheetId="0" hidden="1">VCC!$X$1:$AA$489</definedName>
    <definedName name="Issued__Date" localSheetId="13">BOGIE!#REF!</definedName>
    <definedName name="Issued__Date" localSheetId="12">FDS!#REF!</definedName>
    <definedName name="Issued__Date" localSheetId="11">PROPULSION!#REF!</definedName>
    <definedName name="Issued__Date">BRAKE!$U$4</definedName>
    <definedName name="_xlnm.Print_Area" localSheetId="0">VCC!$B$1:$P$35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2" i="9" l="1"/>
  <c r="R13" i="9"/>
  <c r="R14" i="9"/>
  <c r="R17" i="9"/>
  <c r="R5" i="10"/>
  <c r="R6" i="10"/>
  <c r="R7" i="10"/>
  <c r="R8" i="10"/>
  <c r="R9" i="10"/>
  <c r="R10" i="10"/>
  <c r="R4" i="10"/>
  <c r="X62" i="6"/>
  <c r="Q35" i="6" l="1"/>
  <c r="X35" i="6" s="1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73" i="3"/>
  <c r="V70" i="3"/>
  <c r="V71" i="3"/>
  <c r="U41" i="3"/>
  <c r="V88" i="5"/>
  <c r="U45" i="3"/>
  <c r="V15" i="5" l="1"/>
  <c r="V38" i="5"/>
  <c r="V55" i="5"/>
  <c r="V56" i="5"/>
  <c r="V66" i="5"/>
  <c r="V83" i="5"/>
  <c r="V81" i="5"/>
  <c r="V76" i="5"/>
  <c r="V86" i="5"/>
  <c r="U16" i="3" l="1"/>
  <c r="U17" i="3"/>
  <c r="Q27" i="6" l="1"/>
  <c r="X27" i="6" s="1"/>
  <c r="V16" i="3" l="1"/>
  <c r="W56" i="5"/>
  <c r="R27" i="6"/>
  <c r="Q28" i="6"/>
  <c r="X28" i="6" s="1"/>
  <c r="Q42" i="6"/>
  <c r="X42" i="6" s="1"/>
  <c r="W88" i="5"/>
  <c r="V89" i="5"/>
  <c r="W89" i="5" s="1"/>
  <c r="V90" i="5"/>
  <c r="W90" i="5" s="1"/>
  <c r="V91" i="5"/>
  <c r="W91" i="5" s="1"/>
  <c r="V92" i="5"/>
  <c r="W92" i="5" s="1"/>
  <c r="V87" i="5"/>
  <c r="W87" i="5" s="1"/>
  <c r="V5" i="5"/>
  <c r="W5" i="5" s="1"/>
  <c r="V18" i="5"/>
  <c r="W18" i="5" s="1"/>
  <c r="V19" i="5"/>
  <c r="W19" i="5" s="1"/>
  <c r="V20" i="5"/>
  <c r="W20" i="5" s="1"/>
  <c r="V21" i="5"/>
  <c r="W21" i="5" s="1"/>
  <c r="V22" i="5"/>
  <c r="W22" i="5" s="1"/>
  <c r="V23" i="5"/>
  <c r="W23" i="5" s="1"/>
  <c r="V24" i="5"/>
  <c r="W24" i="5" s="1"/>
  <c r="V25" i="5"/>
  <c r="W25" i="5" s="1"/>
  <c r="V26" i="5"/>
  <c r="W26" i="5" s="1"/>
  <c r="V27" i="5"/>
  <c r="W27" i="5" s="1"/>
  <c r="V28" i="5"/>
  <c r="W28" i="5" s="1"/>
  <c r="V29" i="5"/>
  <c r="W29" i="5" s="1"/>
  <c r="V30" i="5"/>
  <c r="W30" i="5" s="1"/>
  <c r="V31" i="5"/>
  <c r="W31" i="5" s="1"/>
  <c r="V32" i="5"/>
  <c r="W32" i="5" s="1"/>
  <c r="V33" i="5"/>
  <c r="W33" i="5" s="1"/>
  <c r="V34" i="5"/>
  <c r="W34" i="5" s="1"/>
  <c r="V35" i="5"/>
  <c r="W35" i="5" s="1"/>
  <c r="V36" i="5"/>
  <c r="W36" i="5" s="1"/>
  <c r="V37" i="5"/>
  <c r="W37" i="5" s="1"/>
  <c r="W38" i="5"/>
  <c r="V39" i="5"/>
  <c r="W39" i="5" s="1"/>
  <c r="V40" i="5"/>
  <c r="W40" i="5" s="1"/>
  <c r="V41" i="5"/>
  <c r="W41" i="5" s="1"/>
  <c r="V42" i="5"/>
  <c r="W42" i="5" s="1"/>
  <c r="V43" i="5"/>
  <c r="W43" i="5" s="1"/>
  <c r="V44" i="5"/>
  <c r="W44" i="5" s="1"/>
  <c r="V45" i="5"/>
  <c r="W45" i="5" s="1"/>
  <c r="V46" i="5"/>
  <c r="W46" i="5" s="1"/>
  <c r="V47" i="5"/>
  <c r="W47" i="5" s="1"/>
  <c r="V48" i="5"/>
  <c r="W48" i="5" s="1"/>
  <c r="V49" i="5"/>
  <c r="W49" i="5" s="1"/>
  <c r="V50" i="5"/>
  <c r="W50" i="5" s="1"/>
  <c r="V51" i="5"/>
  <c r="W51" i="5" s="1"/>
  <c r="V52" i="5"/>
  <c r="W52" i="5" s="1"/>
  <c r="V53" i="5"/>
  <c r="W53" i="5" s="1"/>
  <c r="V54" i="5"/>
  <c r="W54" i="5" s="1"/>
  <c r="W55" i="5"/>
  <c r="V57" i="5"/>
  <c r="W57" i="5" s="1"/>
  <c r="V58" i="5"/>
  <c r="W58" i="5" s="1"/>
  <c r="V59" i="5"/>
  <c r="W59" i="5" s="1"/>
  <c r="V60" i="5"/>
  <c r="W60" i="5" s="1"/>
  <c r="V61" i="5"/>
  <c r="W61" i="5" s="1"/>
  <c r="V62" i="5"/>
  <c r="W62" i="5" s="1"/>
  <c r="V63" i="5"/>
  <c r="W63" i="5" s="1"/>
  <c r="V64" i="5"/>
  <c r="W64" i="5" s="1"/>
  <c r="V65" i="5"/>
  <c r="W65" i="5" s="1"/>
  <c r="W66" i="5"/>
  <c r="V67" i="5"/>
  <c r="W67" i="5" s="1"/>
  <c r="V68" i="5"/>
  <c r="W68" i="5" s="1"/>
  <c r="V69" i="5"/>
  <c r="W69" i="5" s="1"/>
  <c r="V70" i="5"/>
  <c r="W70" i="5" s="1"/>
  <c r="V71" i="5"/>
  <c r="W71" i="5" s="1"/>
  <c r="V72" i="5"/>
  <c r="W72" i="5" s="1"/>
  <c r="V73" i="5"/>
  <c r="W73" i="5" s="1"/>
  <c r="V74" i="5"/>
  <c r="W74" i="5" s="1"/>
  <c r="V75" i="5"/>
  <c r="W75" i="5" s="1"/>
  <c r="W76" i="5"/>
  <c r="V77" i="5"/>
  <c r="W77" i="5" s="1"/>
  <c r="V78" i="5"/>
  <c r="W78" i="5" s="1"/>
  <c r="V79" i="5"/>
  <c r="W79" i="5" s="1"/>
  <c r="V80" i="5"/>
  <c r="W80" i="5" s="1"/>
  <c r="W81" i="5"/>
  <c r="V82" i="5"/>
  <c r="W82" i="5" s="1"/>
  <c r="W83" i="5"/>
  <c r="V84" i="5"/>
  <c r="W84" i="5" s="1"/>
  <c r="V85" i="5"/>
  <c r="W85" i="5" s="1"/>
  <c r="W86" i="5"/>
  <c r="V17" i="5"/>
  <c r="W17" i="5" s="1"/>
  <c r="V6" i="5"/>
  <c r="W6" i="5" s="1"/>
  <c r="V7" i="5"/>
  <c r="W7" i="5" s="1"/>
  <c r="V8" i="5"/>
  <c r="W8" i="5" s="1"/>
  <c r="V9" i="5"/>
  <c r="W9" i="5" s="1"/>
  <c r="V10" i="5"/>
  <c r="W10" i="5" s="1"/>
  <c r="V11" i="5"/>
  <c r="W11" i="5" s="1"/>
  <c r="V12" i="5"/>
  <c r="W12" i="5" s="1"/>
  <c r="V13" i="5"/>
  <c r="W13" i="5" s="1"/>
  <c r="V14" i="5"/>
  <c r="W14" i="5" s="1"/>
  <c r="W15" i="5"/>
  <c r="V16" i="5"/>
  <c r="W16" i="5" s="1"/>
  <c r="U43" i="3"/>
  <c r="V43" i="3" s="1"/>
  <c r="V45" i="3"/>
  <c r="U42" i="3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" i="7"/>
  <c r="J5" i="4"/>
  <c r="J6" i="4"/>
  <c r="J7" i="4"/>
  <c r="J8" i="4"/>
  <c r="J9" i="4"/>
  <c r="J10" i="4"/>
  <c r="J4" i="4"/>
  <c r="Q5" i="6"/>
  <c r="X5" i="6" s="1"/>
  <c r="Q6" i="6"/>
  <c r="X6" i="6" s="1"/>
  <c r="Q7" i="6"/>
  <c r="X7" i="6" s="1"/>
  <c r="Q8" i="6"/>
  <c r="X8" i="6" s="1"/>
  <c r="Q9" i="6"/>
  <c r="X9" i="6" s="1"/>
  <c r="Q10" i="6"/>
  <c r="X10" i="6" s="1"/>
  <c r="Q11" i="6"/>
  <c r="X11" i="6" s="1"/>
  <c r="Q12" i="6"/>
  <c r="X12" i="6" s="1"/>
  <c r="Q13" i="6"/>
  <c r="X13" i="6" s="1"/>
  <c r="Q14" i="6"/>
  <c r="X14" i="6" s="1"/>
  <c r="Q15" i="6"/>
  <c r="X15" i="6" s="1"/>
  <c r="Q16" i="6"/>
  <c r="X16" i="6" s="1"/>
  <c r="Q17" i="6"/>
  <c r="X17" i="6" s="1"/>
  <c r="Q18" i="6"/>
  <c r="X18" i="6" s="1"/>
  <c r="Q19" i="6"/>
  <c r="X19" i="6" s="1"/>
  <c r="Q20" i="6"/>
  <c r="X20" i="6" s="1"/>
  <c r="Q21" i="6"/>
  <c r="X21" i="6" s="1"/>
  <c r="Q22" i="6"/>
  <c r="X22" i="6" s="1"/>
  <c r="Q23" i="6"/>
  <c r="X23" i="6" s="1"/>
  <c r="Q24" i="6"/>
  <c r="X24" i="6" s="1"/>
  <c r="Q25" i="6"/>
  <c r="X25" i="6" s="1"/>
  <c r="Q26" i="6"/>
  <c r="X26" i="6" s="1"/>
  <c r="Q29" i="6"/>
  <c r="X29" i="6" s="1"/>
  <c r="Q30" i="6"/>
  <c r="X30" i="6" s="1"/>
  <c r="Q31" i="6"/>
  <c r="X31" i="6" s="1"/>
  <c r="Q32" i="6"/>
  <c r="X32" i="6" s="1"/>
  <c r="Q33" i="6"/>
  <c r="X33" i="6" s="1"/>
  <c r="Q34" i="6"/>
  <c r="X34" i="6" s="1"/>
  <c r="Q36" i="6"/>
  <c r="X36" i="6" s="1"/>
  <c r="Q37" i="6"/>
  <c r="X37" i="6" s="1"/>
  <c r="Q38" i="6"/>
  <c r="X38" i="6" s="1"/>
  <c r="Q39" i="6"/>
  <c r="X39" i="6" s="1"/>
  <c r="Q40" i="6"/>
  <c r="X40" i="6" s="1"/>
  <c r="Q41" i="6"/>
  <c r="X41" i="6" s="1"/>
  <c r="Q43" i="6"/>
  <c r="X43" i="6" s="1"/>
  <c r="Q44" i="6"/>
  <c r="X44" i="6" s="1"/>
  <c r="Q45" i="6"/>
  <c r="X45" i="6" s="1"/>
  <c r="Q46" i="6"/>
  <c r="X46" i="6" s="1"/>
  <c r="Q47" i="6"/>
  <c r="X47" i="6" s="1"/>
  <c r="Q48" i="6"/>
  <c r="X48" i="6" s="1"/>
  <c r="Q49" i="6"/>
  <c r="X49" i="6" s="1"/>
  <c r="Q50" i="6"/>
  <c r="X50" i="6" s="1"/>
  <c r="Q51" i="6"/>
  <c r="X51" i="6" s="1"/>
  <c r="Q52" i="6"/>
  <c r="X52" i="6" s="1"/>
  <c r="Q53" i="6"/>
  <c r="X53" i="6" s="1"/>
  <c r="Q54" i="6"/>
  <c r="X54" i="6" s="1"/>
  <c r="Q55" i="6"/>
  <c r="X55" i="6" s="1"/>
  <c r="Q56" i="6"/>
  <c r="X56" i="6" s="1"/>
  <c r="Q57" i="6"/>
  <c r="X57" i="6" s="1"/>
  <c r="Q58" i="6"/>
  <c r="X58" i="6" s="1"/>
  <c r="Q59" i="6"/>
  <c r="X59" i="6" s="1"/>
  <c r="Q60" i="6"/>
  <c r="X60" i="6" s="1"/>
  <c r="Q61" i="6"/>
  <c r="X61" i="6" s="1"/>
  <c r="Q63" i="6"/>
  <c r="X63" i="6" s="1"/>
  <c r="Q64" i="6"/>
  <c r="X64" i="6" s="1"/>
  <c r="Q65" i="6"/>
  <c r="X65" i="6" s="1"/>
  <c r="Q66" i="6"/>
  <c r="X66" i="6" s="1"/>
  <c r="Q67" i="6"/>
  <c r="X67" i="6" s="1"/>
  <c r="Q68" i="6"/>
  <c r="X68" i="6" s="1"/>
  <c r="Q4" i="6"/>
  <c r="X4" i="6" s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4" i="1"/>
  <c r="V42" i="3"/>
  <c r="U61" i="3"/>
  <c r="U20" i="3"/>
  <c r="V20" i="3" s="1"/>
  <c r="U36" i="3"/>
  <c r="V36" i="3" s="1"/>
  <c r="U53" i="3"/>
  <c r="V53" i="3" s="1"/>
  <c r="U69" i="3"/>
  <c r="V69" i="3" s="1"/>
  <c r="U5" i="3"/>
  <c r="V5" i="3" s="1"/>
  <c r="U6" i="3"/>
  <c r="V6" i="3" s="1"/>
  <c r="U7" i="3"/>
  <c r="V7" i="3" s="1"/>
  <c r="U8" i="3"/>
  <c r="V8" i="3" s="1"/>
  <c r="U9" i="3"/>
  <c r="V9" i="3" s="1"/>
  <c r="U10" i="3"/>
  <c r="V10" i="3" s="1"/>
  <c r="U11" i="3"/>
  <c r="V11" i="3" s="1"/>
  <c r="U12" i="3"/>
  <c r="V12" i="3" s="1"/>
  <c r="U13" i="3"/>
  <c r="V13" i="3" s="1"/>
  <c r="U14" i="3"/>
  <c r="V14" i="3" s="1"/>
  <c r="U15" i="3"/>
  <c r="V15" i="3" s="1"/>
  <c r="V17" i="3"/>
  <c r="U18" i="3"/>
  <c r="V18" i="3" s="1"/>
  <c r="U19" i="3"/>
  <c r="V19" i="3" s="1"/>
  <c r="U21" i="3"/>
  <c r="V21" i="3" s="1"/>
  <c r="U22" i="3"/>
  <c r="V22" i="3" s="1"/>
  <c r="U23" i="3"/>
  <c r="V23" i="3" s="1"/>
  <c r="U24" i="3"/>
  <c r="V24" i="3" s="1"/>
  <c r="U25" i="3"/>
  <c r="V25" i="3" s="1"/>
  <c r="U26" i="3"/>
  <c r="V26" i="3" s="1"/>
  <c r="U27" i="3"/>
  <c r="V27" i="3" s="1"/>
  <c r="U28" i="3"/>
  <c r="V28" i="3" s="1"/>
  <c r="U29" i="3"/>
  <c r="V29" i="3" s="1"/>
  <c r="U30" i="3"/>
  <c r="V30" i="3" s="1"/>
  <c r="U31" i="3"/>
  <c r="V31" i="3" s="1"/>
  <c r="U32" i="3"/>
  <c r="V32" i="3" s="1"/>
  <c r="U33" i="3"/>
  <c r="V33" i="3" s="1"/>
  <c r="U34" i="3"/>
  <c r="V34" i="3" s="1"/>
  <c r="U35" i="3"/>
  <c r="V35" i="3" s="1"/>
  <c r="U37" i="3"/>
  <c r="V37" i="3" s="1"/>
  <c r="U38" i="3"/>
  <c r="V38" i="3" s="1"/>
  <c r="U39" i="3"/>
  <c r="V39" i="3" s="1"/>
  <c r="U40" i="3"/>
  <c r="V40" i="3" s="1"/>
  <c r="V41" i="3"/>
  <c r="U44" i="3"/>
  <c r="V44" i="3" s="1"/>
  <c r="U47" i="3"/>
  <c r="V47" i="3"/>
  <c r="U48" i="3"/>
  <c r="V48" i="3" s="1"/>
  <c r="U49" i="3"/>
  <c r="V49" i="3" s="1"/>
  <c r="U50" i="3"/>
  <c r="V50" i="3" s="1"/>
  <c r="U51" i="3"/>
  <c r="V51" i="3" s="1"/>
  <c r="U52" i="3"/>
  <c r="V52" i="3" s="1"/>
  <c r="U54" i="3"/>
  <c r="V54" i="3" s="1"/>
  <c r="U55" i="3"/>
  <c r="V55" i="3" s="1"/>
  <c r="U56" i="3"/>
  <c r="V56" i="3" s="1"/>
  <c r="U57" i="3"/>
  <c r="V57" i="3" s="1"/>
  <c r="U58" i="3"/>
  <c r="V58" i="3" s="1"/>
  <c r="U59" i="3"/>
  <c r="V59" i="3" s="1"/>
  <c r="U60" i="3"/>
  <c r="V60" i="3" s="1"/>
  <c r="V61" i="3"/>
  <c r="U62" i="3"/>
  <c r="V62" i="3" s="1"/>
  <c r="U63" i="3"/>
  <c r="V63" i="3" s="1"/>
  <c r="U64" i="3"/>
  <c r="V64" i="3" s="1"/>
  <c r="U65" i="3"/>
  <c r="V65" i="3" s="1"/>
  <c r="U66" i="3"/>
  <c r="V66" i="3" s="1"/>
  <c r="U67" i="3"/>
  <c r="V67" i="3" s="1"/>
  <c r="U68" i="3"/>
  <c r="V68" i="3" s="1"/>
  <c r="U4" i="3"/>
  <c r="V4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BEML PC1</author>
    <author>BEML TNC PC4</author>
  </authors>
  <commentList>
    <comment ref="L15" authorId="0" shapeId="0" xr:uid="{00000000-0006-0000-0100-000001000000}">
      <text>
        <r>
          <rPr>
            <sz val="9"/>
            <color indexed="81"/>
            <rFont val="Tahoma"/>
            <family val="2"/>
          </rPr>
          <t>TS#01,DM1,B2,NCR-81.
Maloy/Vivek
AD19093906</t>
        </r>
      </text>
    </comment>
    <comment ref="J38" authorId="0" shapeId="0" xr:uid="{00000000-0006-0000-0100-000002000000}">
      <text>
        <r>
          <rPr>
            <sz val="9"/>
            <color indexed="81"/>
            <rFont val="Tahoma"/>
            <family val="2"/>
          </rPr>
          <t xml:space="preserve">TS#10,NCR-40.
Maloy/Kishore
2919141000
</t>
        </r>
      </text>
    </comment>
    <comment ref="P56" authorId="0" shapeId="0" xr:uid="{00000000-0006-0000-0100-000003000000}">
      <text>
        <r>
          <rPr>
            <sz val="9"/>
            <color indexed="81"/>
            <rFont val="Tahoma"/>
            <family val="2"/>
          </rPr>
          <t xml:space="preserve">TS#14,T1,NCR-172.
Maloy/ Bipab
DN10-491918304
</t>
        </r>
      </text>
    </comment>
    <comment ref="O66" authorId="0" shapeId="0" xr:uid="{00000000-0006-0000-0100-000004000000}">
      <text>
        <r>
          <rPr>
            <sz val="9"/>
            <color indexed="81"/>
            <rFont val="Tahoma"/>
            <family val="2"/>
          </rPr>
          <t xml:space="preserve">TS#07,NCR76
Maloy/ Kishore
</t>
        </r>
      </text>
    </comment>
    <comment ref="Q66" authorId="0" shapeId="0" xr:uid="{00000000-0006-0000-0100-000005000000}">
      <text>
        <r>
          <rPr>
            <sz val="9"/>
            <color indexed="81"/>
            <rFont val="Tahoma"/>
            <family val="2"/>
          </rPr>
          <t xml:space="preserve">TS#06,DM2,Becu2.
Maloy/Kishore
ZO5080434
</t>
        </r>
      </text>
    </comment>
    <comment ref="T66" authorId="1" shapeId="0" xr:uid="{00000000-0006-0000-0100-000006000000}">
      <text>
        <r>
          <rPr>
            <sz val="9"/>
            <color indexed="81"/>
            <rFont val="Tahoma"/>
            <family val="2"/>
          </rPr>
          <t>2. Maloy/ Allen
3. Allen/Rana</t>
        </r>
      </text>
    </comment>
    <comment ref="U66" authorId="1" shapeId="0" xr:uid="{00000000-0006-0000-0100-000007000000}">
      <text>
        <r>
          <rPr>
            <sz val="9"/>
            <color indexed="81"/>
            <rFont val="Tahoma"/>
            <family val="2"/>
          </rPr>
          <t>2. 22.08.19
3. 09.11.20</t>
        </r>
      </text>
    </comment>
    <comment ref="X66" authorId="1" shapeId="0" xr:uid="{00000000-0006-0000-0100-000008000000}">
      <text>
        <r>
          <rPr>
            <sz val="9"/>
            <color indexed="81"/>
            <rFont val="Tahoma"/>
            <family val="2"/>
          </rPr>
          <t>2. ZO9144389
3. ZO81627440</t>
        </r>
      </text>
    </comment>
    <comment ref="Y66" authorId="1" shapeId="0" xr:uid="{00000000-0006-0000-0100-000009000000}">
      <text>
        <r>
          <rPr>
            <sz val="9"/>
            <color indexed="81"/>
            <rFont val="Tahoma"/>
            <family val="2"/>
          </rPr>
          <t>2. ZO8162740
3. ZO8052479</t>
        </r>
      </text>
    </comment>
    <comment ref="Z66" authorId="1" shapeId="0" xr:uid="{00000000-0006-0000-0100-00000A000000}">
      <text>
        <r>
          <rPr>
            <sz val="9"/>
            <color indexed="81"/>
            <rFont val="Tahoma"/>
            <family val="2"/>
          </rPr>
          <t xml:space="preserve">2. TS#7,DM2,BCU1.
3. TS#06,DM2 ,Becu2
</t>
        </r>
      </text>
    </comment>
    <comment ref="AA66" authorId="1" shapeId="0" xr:uid="{00000000-0006-0000-0100-00000B000000}">
      <text>
        <r>
          <rPr>
            <sz val="9"/>
            <color indexed="81"/>
            <rFont val="Tahoma"/>
            <family val="2"/>
          </rPr>
          <t xml:space="preserve">2) 76
</t>
        </r>
      </text>
    </comment>
    <comment ref="N68" authorId="0" shapeId="0" xr:uid="{00000000-0006-0000-0100-00000C000000}">
      <text>
        <r>
          <rPr>
            <sz val="9"/>
            <color indexed="81"/>
            <rFont val="Tahoma"/>
            <family val="2"/>
          </rPr>
          <t xml:space="preserve">TS#02,DM2,B1,NCR-138.
Maloy/Shilpa
ZO8191674
</t>
        </r>
      </text>
    </comment>
    <comment ref="K76" authorId="0" shapeId="0" xr:uid="{00000000-0006-0000-0100-00000D000000}">
      <text>
        <r>
          <rPr>
            <sz val="9"/>
            <color indexed="81"/>
            <rFont val="Tahoma"/>
            <family val="2"/>
          </rPr>
          <t xml:space="preserve">TS#06,T1,B2,NC74
Maloy/Biplab
WKV1-T42/19/0731/29
</t>
        </r>
      </text>
    </comment>
    <comment ref="M83" authorId="0" shapeId="0" xr:uid="{00000000-0006-0000-0100-00000E000000}">
      <text>
        <r>
          <rPr>
            <sz val="9"/>
            <color indexed="81"/>
            <rFont val="Tahoma"/>
            <family val="2"/>
          </rPr>
          <t xml:space="preserve">TS#11,NCR73
Maloy/ Biplab
MKT-75/370,BN:W17557
</t>
        </r>
      </text>
    </comment>
    <comment ref="R88" authorId="0" shapeId="0" xr:uid="{00000000-0006-0000-0100-00000F000000}">
      <text>
        <r>
          <rPr>
            <sz val="9"/>
            <color indexed="81"/>
            <rFont val="Tahoma"/>
            <family val="2"/>
          </rPr>
          <t xml:space="preserve">Maloy/Biplab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BEML TNC PC4</author>
    <author>BEML PC1</author>
  </authors>
  <commentList>
    <comment ref="K27" authorId="0" shapeId="0" xr:uid="{00000000-0006-0000-0700-000001000000}">
      <text>
        <r>
          <rPr>
            <sz val="9"/>
            <color indexed="81"/>
            <rFont val="Tahoma"/>
            <family val="2"/>
          </rPr>
          <t>NCR- 48=31528100000320(0118)
NCR- 122=3152810000695(0718)
NCR- 156=3152810000431(0218)</t>
        </r>
      </text>
    </comment>
    <comment ref="L27" authorId="1" shapeId="0" xr:uid="{00000000-0006-0000-0700-000002000000}">
      <text>
        <r>
          <rPr>
            <sz val="9"/>
            <color indexed="81"/>
            <rFont val="Tahoma"/>
            <family val="2"/>
          </rPr>
          <t>NCR-152-S=315281-00000327(0118)</t>
        </r>
      </text>
    </comment>
    <comment ref="O27" authorId="0" shapeId="0" xr:uid="{00000000-0006-0000-0700-000003000000}">
      <text>
        <r>
          <rPr>
            <sz val="9"/>
            <color indexed="81"/>
            <rFont val="Tahoma"/>
            <family val="2"/>
          </rPr>
          <t>2.Shilpa &amp; Rana
3. Sunil &amp; Maloy
4. Sunil &amp; Maloy
5. Maloy/sunil</t>
        </r>
      </text>
    </comment>
    <comment ref="P27" authorId="0" shapeId="0" xr:uid="{00000000-0006-0000-0700-000004000000}">
      <text>
        <r>
          <rPr>
            <sz val="9"/>
            <color indexed="81"/>
            <rFont val="Tahoma"/>
            <family val="2"/>
          </rPr>
          <t>2. 09.01.20
3. 04.06.20
4. 01.07.20
5. 17.10.20</t>
        </r>
      </text>
    </comment>
    <comment ref="S27" authorId="0" shapeId="0" xr:uid="{00000000-0006-0000-0700-000005000000}">
      <text>
        <r>
          <rPr>
            <sz val="9"/>
            <color indexed="81"/>
            <rFont val="Tahoma"/>
            <family val="2"/>
          </rPr>
          <t>2. 315281-00000280(1217) 
3. 315281-00000162(0917)
4. 315281-00000162(0917)
5. 315281-00000320(0118)</t>
        </r>
      </text>
    </comment>
    <comment ref="T27" authorId="0" shapeId="0" xr:uid="{00000000-0006-0000-0700-000006000000}">
      <text>
        <r>
          <rPr>
            <sz val="9"/>
            <color indexed="81"/>
            <rFont val="Tahoma"/>
            <family val="2"/>
          </rPr>
          <t xml:space="preserve">2. 315281-00000695
3. 315281- 00000327
5. 315281-00000109
</t>
        </r>
      </text>
    </comment>
    <comment ref="U27" authorId="0" shapeId="0" xr:uid="{00000000-0006-0000-0700-000007000000}">
      <text>
        <r>
          <rPr>
            <sz val="9"/>
            <color indexed="81"/>
            <rFont val="Tahoma"/>
            <family val="2"/>
          </rPr>
          <t>2. TS#2,M-1,R-1.
3. TS#13,T2,L2.
4.TS#10,DM2,R4.
5. TS#03,T2,R4</t>
        </r>
      </text>
    </comment>
    <comment ref="V27" authorId="0" shapeId="0" xr:uid="{00000000-0006-0000-0700-000008000000}">
      <text>
        <r>
          <rPr>
            <sz val="9"/>
            <color indexed="81"/>
            <rFont val="Tahoma"/>
            <family val="2"/>
          </rPr>
          <t xml:space="preserve">2) 122
3) 152
4)156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BEML TNC PC4</author>
    <author>BEML PC1</author>
  </authors>
  <commentList>
    <comment ref="S17" authorId="0" shapeId="0" xr:uid="{00000000-0006-0000-0900-000001000000}">
      <text>
        <r>
          <rPr>
            <sz val="9"/>
            <color indexed="81"/>
            <rFont val="Tahoma"/>
            <family val="2"/>
          </rPr>
          <t xml:space="preserve">2.Sunil/Kohail 
</t>
        </r>
      </text>
    </comment>
    <comment ref="T17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 xml:space="preserve">2.02/07/20
</t>
        </r>
      </text>
    </comment>
    <comment ref="W17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2.227538-120005(0101)</t>
        </r>
      </text>
    </comment>
    <comment ref="Z17" authorId="0" shapeId="0" xr:uid="{00000000-0006-0000-0900-000004000000}">
      <text>
        <r>
          <rPr>
            <sz val="9"/>
            <color indexed="81"/>
            <rFont val="Tahoma"/>
            <family val="2"/>
          </rPr>
          <t xml:space="preserve">2.TS#07,TC-1,Vac-2
</t>
        </r>
      </text>
    </comment>
    <comment ref="AA17" authorId="0" shapeId="0" xr:uid="{00000000-0006-0000-0900-000005000000}">
      <text>
        <r>
          <rPr>
            <sz val="9"/>
            <color indexed="81"/>
            <rFont val="Tahoma"/>
            <family val="2"/>
          </rPr>
          <t xml:space="preserve">2) 139
</t>
        </r>
      </text>
    </comment>
    <comment ref="S27" authorId="1" shapeId="0" xr:uid="{00000000-0006-0000-0900-000006000000}">
      <text>
        <r>
          <rPr>
            <sz val="9"/>
            <color indexed="81"/>
            <rFont val="Tahoma"/>
            <family val="2"/>
          </rPr>
          <t xml:space="preserve">1. Kohil/ Sunil
</t>
        </r>
      </text>
    </comment>
    <comment ref="T27" authorId="1" shapeId="0" xr:uid="{00000000-0006-0000-0900-000007000000}">
      <text>
        <r>
          <rPr>
            <sz val="9"/>
            <color indexed="81"/>
            <rFont val="Tahoma"/>
            <family val="2"/>
          </rPr>
          <t xml:space="preserve">2. 11.03.21
</t>
        </r>
      </text>
    </comment>
    <comment ref="Z27" authorId="1" shapeId="0" xr:uid="{00000000-0006-0000-0900-000008000000}">
      <text>
        <r>
          <rPr>
            <sz val="9"/>
            <color indexed="81"/>
            <rFont val="Tahoma"/>
            <family val="2"/>
          </rPr>
          <t xml:space="preserve">2. TS#05, T2,V1
</t>
        </r>
      </text>
    </comment>
    <comment ref="S43" authorId="0" shapeId="0" xr:uid="{00000000-0006-0000-0900-000009000000}">
      <text>
        <r>
          <rPr>
            <sz val="9"/>
            <color indexed="81"/>
            <rFont val="Tahoma"/>
            <family val="2"/>
          </rPr>
          <t xml:space="preserve">2. Kohil / Sunil
3. Pritesh/ Rahul
4. Rahul/Sunil
5. Sunil/Kohail
</t>
        </r>
      </text>
    </comment>
    <comment ref="T43" authorId="0" shapeId="0" xr:uid="{00000000-0006-0000-0900-00000A000000}">
      <text>
        <r>
          <rPr>
            <sz val="9"/>
            <color indexed="81"/>
            <rFont val="Tahoma"/>
            <family val="2"/>
          </rPr>
          <t xml:space="preserve">2. 08.02.20
3. 14.12.20
4. 04.02.21
5. 10.03.21
</t>
        </r>
      </text>
    </comment>
    <comment ref="W43" authorId="0" shapeId="0" xr:uid="{00000000-0006-0000-0900-00000B000000}">
      <text>
        <r>
          <rPr>
            <sz val="9"/>
            <color indexed="81"/>
            <rFont val="Tahoma"/>
            <family val="2"/>
          </rPr>
          <t xml:space="preserve">2. BTN2028U5I-142
3. BTN2028U5I-064
4. BTN2028U5I-0590
5. BTN2028U5I-0328
</t>
        </r>
      </text>
    </comment>
    <comment ref="X43" authorId="0" shapeId="0" xr:uid="{00000000-0006-0000-0900-00000C000000}">
      <text>
        <r>
          <rPr>
            <sz val="9"/>
            <color indexed="81"/>
            <rFont val="Tahoma"/>
            <family val="2"/>
          </rPr>
          <t>2. 0286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Z43" authorId="0" shapeId="0" xr:uid="{00000000-0006-0000-0900-00000D000000}">
      <text>
        <r>
          <rPr>
            <sz val="9"/>
            <color indexed="81"/>
            <rFont val="Tahoma"/>
            <family val="2"/>
          </rPr>
          <t>2. TS#01,M2,VAC2
3. TS#07,M2,V2
4. TS#05,M2,V2
5. TS#01,T2,V1</t>
        </r>
      </text>
    </comment>
    <comment ref="AA43" authorId="1" shapeId="0" xr:uid="{00000000-0006-0000-0900-00000E000000}">
      <text>
        <r>
          <rPr>
            <sz val="9"/>
            <color indexed="81"/>
            <rFont val="Tahoma"/>
            <family val="2"/>
          </rPr>
          <t xml:space="preserve">2. 114
3. 221
4. 
</t>
        </r>
      </text>
    </comment>
  </commentList>
</comments>
</file>

<file path=xl/sharedStrings.xml><?xml version="1.0" encoding="utf-8"?>
<sst xmlns="http://schemas.openxmlformats.org/spreadsheetml/2006/main" count="1714" uniqueCount="941">
  <si>
    <t xml:space="preserve">Sl Nos. </t>
  </si>
  <si>
    <t>Item Details</t>
  </si>
  <si>
    <t>Unit</t>
  </si>
  <si>
    <t>Nos</t>
  </si>
  <si>
    <t xml:space="preserve">No </t>
  </si>
  <si>
    <t>No</t>
  </si>
  <si>
    <t>Received Qty</t>
  </si>
  <si>
    <t>Received Date</t>
  </si>
  <si>
    <t>7M6108857</t>
  </si>
  <si>
    <t>7A0602467</t>
  </si>
  <si>
    <t>3T203732R124</t>
  </si>
  <si>
    <t>3T309165R23</t>
  </si>
  <si>
    <t>3T309165R24</t>
  </si>
  <si>
    <t>3TD04032R05</t>
  </si>
  <si>
    <t>8HN400639P01</t>
  </si>
  <si>
    <t>7SN300229R03</t>
  </si>
  <si>
    <t>3TD04010R01</t>
  </si>
  <si>
    <t>3TD04022R01</t>
  </si>
  <si>
    <t>7UN400588P03</t>
  </si>
  <si>
    <t>7UN400244P04</t>
  </si>
  <si>
    <t>8FN300430R63</t>
  </si>
  <si>
    <t>Part No</t>
  </si>
  <si>
    <t>Grip</t>
  </si>
  <si>
    <t>E3-0-30268-02</t>
  </si>
  <si>
    <t xml:space="preserve">Locking Device adjustable </t>
  </si>
  <si>
    <t xml:space="preserve">E3-110-20 </t>
  </si>
  <si>
    <t>Treminal Block</t>
  </si>
  <si>
    <t>ST2.5 Twin</t>
  </si>
  <si>
    <t>ST6 Twin</t>
  </si>
  <si>
    <t>RT8</t>
  </si>
  <si>
    <t xml:space="preserve"> MS Connector Race</t>
  </si>
  <si>
    <t>MS3474W24-31PW</t>
  </si>
  <si>
    <t>MS3474W24-31P</t>
  </si>
  <si>
    <t>MS3474W16-8S</t>
  </si>
  <si>
    <t>704.900.3</t>
  </si>
  <si>
    <t>Switching Element</t>
  </si>
  <si>
    <t>704.900.4</t>
  </si>
  <si>
    <t>704.900.5</t>
  </si>
  <si>
    <t>C26</t>
  </si>
  <si>
    <t>Safety Cut Out S/W</t>
  </si>
  <si>
    <t xml:space="preserve">SMS36RDH1 </t>
  </si>
  <si>
    <t>Connector Receptacle</t>
  </si>
  <si>
    <t>Connector Pin</t>
  </si>
  <si>
    <t>RC16M23K</t>
  </si>
  <si>
    <t xml:space="preserve">SMS24RDH1 </t>
  </si>
  <si>
    <t>MS3474w24-31PX</t>
  </si>
  <si>
    <t>MS3474w24-31S</t>
  </si>
  <si>
    <t>MS3474w24-31PW</t>
  </si>
  <si>
    <t>279-907</t>
  </si>
  <si>
    <t>Acss c26 RK9081</t>
  </si>
  <si>
    <t>CAM Switch</t>
  </si>
  <si>
    <t>279-681</t>
  </si>
  <si>
    <t>Male Insert</t>
  </si>
  <si>
    <t>Male Insert Pin</t>
  </si>
  <si>
    <t>Female Insert</t>
  </si>
  <si>
    <t>Female Insert pin</t>
  </si>
  <si>
    <t xml:space="preserve">Quintax Modul Female </t>
  </si>
  <si>
    <t>Quintax Contact Carrier Female</t>
  </si>
  <si>
    <t>Crimp Contact</t>
  </si>
  <si>
    <t xml:space="preserve">Tube </t>
  </si>
  <si>
    <t>Crimp Sleev Red</t>
  </si>
  <si>
    <t>Crimp Sleev Yellow</t>
  </si>
  <si>
    <t>PCSG-48B</t>
  </si>
  <si>
    <t>D-406-0001</t>
  </si>
  <si>
    <t>D-406-0034</t>
  </si>
  <si>
    <t>Mtrs</t>
  </si>
  <si>
    <t>C71275</t>
  </si>
  <si>
    <t>I11775</t>
  </si>
  <si>
    <t>I81535</t>
  </si>
  <si>
    <t>I88533</t>
  </si>
  <si>
    <t>I99660</t>
  </si>
  <si>
    <t>II35833</t>
  </si>
  <si>
    <t>II48013</t>
  </si>
  <si>
    <t>II51150/A</t>
  </si>
  <si>
    <t>N62148/01500</t>
  </si>
  <si>
    <t>N63976/02000</t>
  </si>
  <si>
    <t>STN29890</t>
  </si>
  <si>
    <t>STN33642/F003</t>
  </si>
  <si>
    <t>STN336462/F008</t>
  </si>
  <si>
    <t>STN33865</t>
  </si>
  <si>
    <t>II35827/04838</t>
  </si>
  <si>
    <t>II35827/07060</t>
  </si>
  <si>
    <t>II35828/04535</t>
  </si>
  <si>
    <t>II35829/10075</t>
  </si>
  <si>
    <t>II35830/02017</t>
  </si>
  <si>
    <t>II55802/12-018</t>
  </si>
  <si>
    <t>II53482/1A2E</t>
  </si>
  <si>
    <t>STN41739</t>
  </si>
  <si>
    <t>II50172/2B1R</t>
  </si>
  <si>
    <t>II50175/1A1RE</t>
  </si>
  <si>
    <t>II50175/1A3RE</t>
  </si>
  <si>
    <t>II50175/1H1RE</t>
  </si>
  <si>
    <t>II53482/1A1E</t>
  </si>
  <si>
    <t>II53483/1C1E</t>
  </si>
  <si>
    <t>II53483/2K1E</t>
  </si>
  <si>
    <t>II2546</t>
  </si>
  <si>
    <t>I12546/NR</t>
  </si>
  <si>
    <t>N63976/01000</t>
  </si>
  <si>
    <t>STN39034</t>
  </si>
  <si>
    <t>WSTV200AA009</t>
  </si>
  <si>
    <t>I69434/C</t>
  </si>
  <si>
    <t>II55802/10-011</t>
  </si>
  <si>
    <t>II44729/06006NN</t>
  </si>
  <si>
    <t>II44729/06416NN</t>
  </si>
  <si>
    <t>II90265/06416NQ</t>
  </si>
  <si>
    <t>II90265/06608NQ</t>
  </si>
  <si>
    <t>II44729/10016NN</t>
  </si>
  <si>
    <t>II77139/1</t>
  </si>
  <si>
    <t>II77139/2</t>
  </si>
  <si>
    <t>II16354/1110</t>
  </si>
  <si>
    <t>I98554</t>
  </si>
  <si>
    <t>II49954/078</t>
  </si>
  <si>
    <t>II73429/1</t>
  </si>
  <si>
    <t>STN25089</t>
  </si>
  <si>
    <t>II74151/024</t>
  </si>
  <si>
    <t>II74153/024</t>
  </si>
  <si>
    <t>I22145</t>
  </si>
  <si>
    <t>II91919/02105</t>
  </si>
  <si>
    <t>A70321/2</t>
  </si>
  <si>
    <t>II46182</t>
  </si>
  <si>
    <t>II35828/00604</t>
  </si>
  <si>
    <t>Socket Contact</t>
  </si>
  <si>
    <t>Air Filter</t>
  </si>
  <si>
    <t>Drain valve</t>
  </si>
  <si>
    <t>Silencer</t>
  </si>
  <si>
    <t xml:space="preserve">Socket  </t>
  </si>
  <si>
    <t>Test Fitting</t>
  </si>
  <si>
    <t xml:space="preserve">Connecting Cable </t>
  </si>
  <si>
    <t>Pressure Sensor</t>
  </si>
  <si>
    <t>Counter Connectors</t>
  </si>
  <si>
    <t>Pressure Governor</t>
  </si>
  <si>
    <t xml:space="preserve">Gauge </t>
  </si>
  <si>
    <t>Ballcock</t>
  </si>
  <si>
    <t>Electromechainc</t>
  </si>
  <si>
    <t xml:space="preserve">Check Valve </t>
  </si>
  <si>
    <t xml:space="preserve">Connecting cable </t>
  </si>
  <si>
    <t>Counter Connector</t>
  </si>
  <si>
    <t>Driv Brake Valve</t>
  </si>
  <si>
    <t>Hose Pipes</t>
  </si>
  <si>
    <t xml:space="preserve">Levelling Valve </t>
  </si>
  <si>
    <t xml:space="preserve">Magnet Valve </t>
  </si>
  <si>
    <t xml:space="preserve">Micromesh oil Filt </t>
  </si>
  <si>
    <t xml:space="preserve">Overflow Valve </t>
  </si>
  <si>
    <t xml:space="preserve">Power Supply </t>
  </si>
  <si>
    <t xml:space="preserve">Precontrol Valve </t>
  </si>
  <si>
    <t xml:space="preserve">Press Reduce Valve </t>
  </si>
  <si>
    <t xml:space="preserve">Safety Valve </t>
  </si>
  <si>
    <t>Sleeve</t>
  </si>
  <si>
    <t>3T203732R122</t>
  </si>
  <si>
    <t>3309165R102</t>
  </si>
  <si>
    <t>3TD0441R07</t>
  </si>
  <si>
    <t>3TD0441R08</t>
  </si>
  <si>
    <t>D04012R01</t>
  </si>
  <si>
    <t>3TD04009R01</t>
  </si>
  <si>
    <t>3TD04010R02</t>
  </si>
  <si>
    <t>8FN30043OR61</t>
  </si>
  <si>
    <t>Countersunk Screw</t>
  </si>
  <si>
    <t xml:space="preserve">Body Fit Bolt </t>
  </si>
  <si>
    <t xml:space="preserve">Emergency Device </t>
  </si>
  <si>
    <t>Spring Washer</t>
  </si>
  <si>
    <t>Hex Head Bolt</t>
  </si>
  <si>
    <t xml:space="preserve">Bowden Cable </t>
  </si>
  <si>
    <t>Bowden Cable (One Cable is marked as R76)</t>
  </si>
  <si>
    <t xml:space="preserve">Limit Switch </t>
  </si>
  <si>
    <t xml:space="preserve">Spindle </t>
  </si>
  <si>
    <t>Shaft Nut</t>
  </si>
  <si>
    <t>Unlocking Lever</t>
  </si>
  <si>
    <t xml:space="preserve">Torsion Spring </t>
  </si>
  <si>
    <t>Securing Clip</t>
  </si>
  <si>
    <t>Plug</t>
  </si>
  <si>
    <t>3ED01`922R20</t>
  </si>
  <si>
    <t xml:space="preserve">Remarks </t>
  </si>
  <si>
    <t>DCU</t>
  </si>
  <si>
    <t>7212452 (305 )</t>
  </si>
  <si>
    <t>TRCC RH</t>
  </si>
  <si>
    <t>2213414 (305 )</t>
  </si>
  <si>
    <t>1182142 (305)</t>
  </si>
  <si>
    <t>63283 (305)</t>
  </si>
  <si>
    <t>7212483 (305)</t>
  </si>
  <si>
    <t>Cables Current Collector  Fuse Box</t>
  </si>
  <si>
    <t>Collector Shoe Support RH</t>
  </si>
  <si>
    <t>Insulator RH</t>
  </si>
  <si>
    <t>TRCC LH</t>
  </si>
  <si>
    <t>1182143 (305)</t>
  </si>
  <si>
    <t>Collector Shoe Support LH</t>
  </si>
  <si>
    <t>64025 (305)</t>
  </si>
  <si>
    <t>Insulator LH</t>
  </si>
  <si>
    <t>II35827/04845</t>
  </si>
  <si>
    <t>II50172/1H1RE</t>
  </si>
  <si>
    <t>II50174/1D3RE</t>
  </si>
  <si>
    <t xml:space="preserve">II50174/1H1RE </t>
  </si>
  <si>
    <t>II53483/ 1H1E</t>
  </si>
  <si>
    <t xml:space="preserve">STN38950 </t>
  </si>
  <si>
    <t>STN39577/201</t>
  </si>
  <si>
    <t>STN39580/102</t>
  </si>
  <si>
    <t>STN39580/103</t>
  </si>
  <si>
    <t>STN30711</t>
  </si>
  <si>
    <t>STN30981</t>
  </si>
  <si>
    <t>Counter Connect.s.</t>
  </si>
  <si>
    <t>I37739</t>
  </si>
  <si>
    <t xml:space="preserve">Double Check Valve </t>
  </si>
  <si>
    <t>II55802/10-010</t>
  </si>
  <si>
    <t>II90265/10008NN</t>
  </si>
  <si>
    <t xml:space="preserve">II93453/07025NT </t>
  </si>
  <si>
    <t>I82553/110</t>
  </si>
  <si>
    <t>I89525</t>
  </si>
  <si>
    <t xml:space="preserve">Piston Valve </t>
  </si>
  <si>
    <t>II87566/2450</t>
  </si>
  <si>
    <t>Remote Control</t>
  </si>
  <si>
    <t>II91919/02120</t>
  </si>
  <si>
    <t>STN43829</t>
  </si>
  <si>
    <t>Set of Connectors</t>
  </si>
  <si>
    <t>STN43835</t>
  </si>
  <si>
    <t>STN31451/120010U</t>
  </si>
  <si>
    <t>Speed Sensor</t>
  </si>
  <si>
    <t>II103226/07</t>
  </si>
  <si>
    <t>Three way  Cock</t>
  </si>
  <si>
    <t>II51214</t>
  </si>
  <si>
    <t>Tyfon</t>
  </si>
  <si>
    <t>II51759</t>
  </si>
  <si>
    <t>II65385/5H1RE</t>
  </si>
  <si>
    <t>II16352/1110</t>
  </si>
  <si>
    <t>Impulse Valve</t>
  </si>
  <si>
    <t>FT0053012-002</t>
  </si>
  <si>
    <t>12.0700.0019</t>
  </si>
  <si>
    <t>FT0053039-004</t>
  </si>
  <si>
    <t>FT0053014-008</t>
  </si>
  <si>
    <t>FT0053014-009</t>
  </si>
  <si>
    <t>12.1000.0141</t>
  </si>
  <si>
    <t>FT0051792-009</t>
  </si>
  <si>
    <t>12.1000.0009</t>
  </si>
  <si>
    <t>FT0053038-020</t>
  </si>
  <si>
    <t>FT0053038-001</t>
  </si>
  <si>
    <t>FT0053038-103</t>
  </si>
  <si>
    <t>FT0053038-002</t>
  </si>
  <si>
    <t>12.1000.0127</t>
  </si>
  <si>
    <t>FT0051797-102</t>
  </si>
  <si>
    <t>FT0053009-117</t>
  </si>
  <si>
    <t>FT0053009-109</t>
  </si>
  <si>
    <t>FT0051810-100</t>
  </si>
  <si>
    <t>12.0301.0030</t>
  </si>
  <si>
    <t>12.0100.0016</t>
  </si>
  <si>
    <t>FT0052509-001</t>
  </si>
  <si>
    <t>FT0053039-003</t>
  </si>
  <si>
    <t>FT0050709-000</t>
  </si>
  <si>
    <t>FT0053039-002</t>
  </si>
  <si>
    <t>FT0053039-001</t>
  </si>
  <si>
    <t>12.0301.0029</t>
  </si>
  <si>
    <t>High pressure sensor (-1~30bar)</t>
  </si>
  <si>
    <t>Low pressure sensor (-1 to 10bar)</t>
  </si>
  <si>
    <t>Injection valve JYF-06</t>
  </si>
  <si>
    <t>Coil for Solenoid valve</t>
  </si>
  <si>
    <t>NTC Type temperature sensor</t>
  </si>
  <si>
    <t>Fresh air filter -G3/EN779</t>
  </si>
  <si>
    <t>Damper for fresh air control</t>
  </si>
  <si>
    <t>Emergency Inverter</t>
  </si>
  <si>
    <t>Set</t>
  </si>
  <si>
    <t xml:space="preserve">Sl Nos </t>
  </si>
  <si>
    <t>High pressure switch (23/19 bar)</t>
  </si>
  <si>
    <t>12.0601.0201</t>
  </si>
  <si>
    <t>Smoke Sensor</t>
  </si>
  <si>
    <t>Air Damper Actuator LM72A-T-3</t>
  </si>
  <si>
    <t>Mixed air filter - G3 / EN779</t>
  </si>
  <si>
    <t>Damper for return air control</t>
  </si>
  <si>
    <t>FT0053009-116</t>
  </si>
  <si>
    <t>FT0053013-014</t>
  </si>
  <si>
    <t>FT0053013-015</t>
  </si>
  <si>
    <t>MCB (2 Pole)</t>
  </si>
  <si>
    <t>FT0053013-013</t>
  </si>
  <si>
    <t>Contactor</t>
  </si>
  <si>
    <t>Ft0053013-010</t>
  </si>
  <si>
    <t>Ft0053013-012</t>
  </si>
  <si>
    <t>Auxilliry Contactor</t>
  </si>
  <si>
    <t>FT0053014-011</t>
  </si>
  <si>
    <t>Ft0053014-012</t>
  </si>
  <si>
    <t>FT0052595-103</t>
  </si>
  <si>
    <t>05.12.19</t>
  </si>
  <si>
    <t>Auxilliry Contact</t>
  </si>
  <si>
    <t>Terminal Block</t>
  </si>
  <si>
    <t>Diode</t>
  </si>
  <si>
    <t>Connector</t>
  </si>
  <si>
    <t>Isolation Switch</t>
  </si>
  <si>
    <t>Safety Relay</t>
  </si>
  <si>
    <t>Safety Relay Socket</t>
  </si>
  <si>
    <t>Indicator RED</t>
  </si>
  <si>
    <t>Indicator YELLOW</t>
  </si>
  <si>
    <t>Overload Relay</t>
  </si>
  <si>
    <t>MCB 80A, 3P</t>
  </si>
  <si>
    <t>Auxillary Contact (for 80A MCB)</t>
  </si>
  <si>
    <t>Control Relay</t>
  </si>
  <si>
    <t xml:space="preserve">Auxillary contact  </t>
  </si>
  <si>
    <t>MCB 10A, 1P</t>
  </si>
  <si>
    <t>MCB 10A, 3P</t>
  </si>
  <si>
    <t>MCB 16A, 1P</t>
  </si>
  <si>
    <t>RCCB 20A, 2P</t>
  </si>
  <si>
    <t>MCB 3A ,1P</t>
  </si>
  <si>
    <t>PE0019</t>
  </si>
  <si>
    <t>Manufacturer part number</t>
  </si>
  <si>
    <t>PE0030</t>
  </si>
  <si>
    <t>PE0032</t>
  </si>
  <si>
    <t>PE0033</t>
  </si>
  <si>
    <t>PE0034</t>
  </si>
  <si>
    <t>PE0035</t>
  </si>
  <si>
    <t>PE0037</t>
  </si>
  <si>
    <t>PE0081</t>
  </si>
  <si>
    <t>PE0082</t>
  </si>
  <si>
    <t>PE0083</t>
  </si>
  <si>
    <t>PE0118</t>
  </si>
  <si>
    <t>PE0119</t>
  </si>
  <si>
    <t>PE0121</t>
  </si>
  <si>
    <t>PE0801</t>
  </si>
  <si>
    <t>PE0802</t>
  </si>
  <si>
    <t>PE0828</t>
  </si>
  <si>
    <t>PE0830</t>
  </si>
  <si>
    <t>PE0833-1</t>
  </si>
  <si>
    <t>PE0834-1</t>
  </si>
  <si>
    <t>PE0835-1</t>
  </si>
  <si>
    <t>PE1000</t>
  </si>
  <si>
    <t>PE1001</t>
  </si>
  <si>
    <t>PE1003</t>
  </si>
  <si>
    <t>PE1017</t>
  </si>
  <si>
    <t>PE1018</t>
  </si>
  <si>
    <t>PE1021</t>
  </si>
  <si>
    <t>PE1022</t>
  </si>
  <si>
    <t>PE1026</t>
  </si>
  <si>
    <t>PE1032</t>
  </si>
  <si>
    <t>PE1033</t>
  </si>
  <si>
    <t>PE1034</t>
  </si>
  <si>
    <t>PE1035</t>
  </si>
  <si>
    <t>PE1036</t>
  </si>
  <si>
    <t>PE13002</t>
  </si>
  <si>
    <t>PE13003</t>
  </si>
  <si>
    <t>PE13004</t>
  </si>
  <si>
    <t>PE13009</t>
  </si>
  <si>
    <t>PE13013</t>
  </si>
  <si>
    <t>PE0155</t>
  </si>
  <si>
    <t>PE0156</t>
  </si>
  <si>
    <t>C195S/110ET-U2-004</t>
  </si>
  <si>
    <t>KH-60100-4P</t>
  </si>
  <si>
    <t>KH-60100-3P</t>
  </si>
  <si>
    <t>KH-60200-4P</t>
  </si>
  <si>
    <t>KH-60200-3P</t>
  </si>
  <si>
    <t>MDD26-16N1B</t>
  </si>
  <si>
    <t>MS3474W20-16S SOURIAU/AMPHENOL</t>
  </si>
  <si>
    <t>MS3474W20-16P SOURIAU/AMPHENOL</t>
  </si>
  <si>
    <t>INS250/INS250-3P</t>
  </si>
  <si>
    <t>C0091101JSV1</t>
  </si>
  <si>
    <t>C0271104FSV1</t>
  </si>
  <si>
    <t>CORNJ4F</t>
  </si>
  <si>
    <t>D-U204KL</t>
  </si>
  <si>
    <t>D8-U204KL</t>
  </si>
  <si>
    <t>17-411130DC(RED)K4</t>
  </si>
  <si>
    <t>17-411132DC(YELOOW)K4</t>
  </si>
  <si>
    <t>DAPG-21ML(52015750)</t>
  </si>
  <si>
    <t>DAPG-29ML(520157560)</t>
  </si>
  <si>
    <t>DAPG-36ML(52015755)</t>
  </si>
  <si>
    <t>LC1DT256FD</t>
  </si>
  <si>
    <t>LC1DT406FD</t>
  </si>
  <si>
    <t>LRD3256</t>
  </si>
  <si>
    <t>A9N18512</t>
  </si>
  <si>
    <t>A9N26924</t>
  </si>
  <si>
    <t>CAD506FD S207</t>
  </si>
  <si>
    <t>CAD326FD S207</t>
  </si>
  <si>
    <t>RE22R2MYMR</t>
  </si>
  <si>
    <t>LADN226</t>
  </si>
  <si>
    <t>LADN406</t>
  </si>
  <si>
    <t>LC1D140A6D</t>
  </si>
  <si>
    <t>281-665/281-401</t>
  </si>
  <si>
    <t>MGN61831</t>
  </si>
  <si>
    <t>M9F15310</t>
  </si>
  <si>
    <t>MGN61833</t>
  </si>
  <si>
    <t>M9D11620</t>
  </si>
  <si>
    <t>LADN316</t>
  </si>
  <si>
    <t>DD171N16K</t>
  </si>
  <si>
    <t>MGN61826</t>
  </si>
  <si>
    <t>Cable Gland + Nut</t>
  </si>
  <si>
    <t>Relay Timer</t>
  </si>
  <si>
    <t>Protective cover missing.</t>
  </si>
  <si>
    <t>MGN26924/MULTI 9 OF</t>
  </si>
  <si>
    <t>A9N26924/ACTI 9OF</t>
  </si>
  <si>
    <t>Sight glass SGN 16S</t>
  </si>
  <si>
    <t>FT0053009-104</t>
  </si>
  <si>
    <t>FT0053009-105</t>
  </si>
  <si>
    <t>Evaporator (LH)</t>
  </si>
  <si>
    <t>Evaporator (RH)</t>
  </si>
  <si>
    <t>Hygrostat</t>
  </si>
  <si>
    <t xml:space="preserve">Guide Rail </t>
  </si>
  <si>
    <t>Emergency Device</t>
  </si>
  <si>
    <t>Pedal</t>
  </si>
  <si>
    <t xml:space="preserve">Geared Motor </t>
  </si>
  <si>
    <t xml:space="preserve">Hinged Nut </t>
  </si>
  <si>
    <t xml:space="preserve">Angle </t>
  </si>
  <si>
    <t xml:space="preserve">Mounting Plate </t>
  </si>
  <si>
    <t xml:space="preserve">Shim </t>
  </si>
  <si>
    <t>Plastic Plugs</t>
  </si>
  <si>
    <t xml:space="preserve">T- Bolt </t>
  </si>
  <si>
    <t>Clamp</t>
  </si>
  <si>
    <t xml:space="preserve">Washer </t>
  </si>
  <si>
    <t xml:space="preserve">Spring Washer </t>
  </si>
  <si>
    <t>Counter sunk Screw</t>
  </si>
  <si>
    <t>Hexa gon Nut</t>
  </si>
  <si>
    <t xml:space="preserve">Hex Head Bolt </t>
  </si>
  <si>
    <t>Machine Screw</t>
  </si>
  <si>
    <t>Oval- Head screw</t>
  </si>
  <si>
    <t>Pan Head Screw</t>
  </si>
  <si>
    <t>3TD06593R07</t>
  </si>
  <si>
    <t>3TD06593R08</t>
  </si>
  <si>
    <t>3TD203732R124</t>
  </si>
  <si>
    <t>3TD203732R122</t>
  </si>
  <si>
    <t>3TD05550R06</t>
  </si>
  <si>
    <t>Limit Switch</t>
  </si>
  <si>
    <t>3TD04053R13</t>
  </si>
  <si>
    <t>3TD07361R51</t>
  </si>
  <si>
    <t>3TD07361R54</t>
  </si>
  <si>
    <t>3TD04439R05</t>
  </si>
  <si>
    <t>3TD04439R06</t>
  </si>
  <si>
    <t>3TD15775R01</t>
  </si>
  <si>
    <t>3TD15776R01</t>
  </si>
  <si>
    <t>3TD15776R02</t>
  </si>
  <si>
    <t>3TD15777R01</t>
  </si>
  <si>
    <t>3TD15784R01</t>
  </si>
  <si>
    <t>3TD15818R01</t>
  </si>
  <si>
    <t>3TD15841R02</t>
  </si>
  <si>
    <t>7UN400256R04</t>
  </si>
  <si>
    <t>7A0602857</t>
  </si>
  <si>
    <t>7A8900010</t>
  </si>
  <si>
    <t>7B1201210</t>
  </si>
  <si>
    <t>7B1203300</t>
  </si>
  <si>
    <t>7D2203550</t>
  </si>
  <si>
    <t>7D2605407</t>
  </si>
  <si>
    <t>7D2605500</t>
  </si>
  <si>
    <t>7L5201707</t>
  </si>
  <si>
    <t>7M6108821</t>
  </si>
  <si>
    <t>7M6108830</t>
  </si>
  <si>
    <t>3TD90003R79</t>
  </si>
  <si>
    <t>3TD15893R03</t>
  </si>
  <si>
    <t>7B1201300</t>
  </si>
  <si>
    <t>7D2203650</t>
  </si>
  <si>
    <t>09.12.19</t>
  </si>
  <si>
    <t>T- Bolt</t>
  </si>
  <si>
    <t>Single Hose Protection Valve</t>
  </si>
  <si>
    <t>AB839-T8</t>
  </si>
  <si>
    <t>05.11.19</t>
  </si>
  <si>
    <t>DLP Qty to be provided</t>
  </si>
  <si>
    <t xml:space="preserve">Issued Qty </t>
  </si>
  <si>
    <t>04.02.20</t>
  </si>
  <si>
    <t>9</t>
  </si>
  <si>
    <t>FT0051863-101</t>
  </si>
  <si>
    <t>FT0053009-108</t>
  </si>
  <si>
    <t>-</t>
  </si>
  <si>
    <t>Stock to be provided by firm</t>
  </si>
  <si>
    <t>Filter dryer DML-0855 (Saloon)</t>
  </si>
  <si>
    <t>Expansion Valve - 067N5156 (Saloon)</t>
  </si>
  <si>
    <t>Auxilliary Switch -3 m cable (Saloon)</t>
  </si>
  <si>
    <t>Logic controller FPC24 / 2 (DC110)  (Saloon)</t>
  </si>
  <si>
    <t>Vibration damper for compresers (Cab)</t>
  </si>
  <si>
    <t>Sight glass SGN10s (Cab)</t>
  </si>
  <si>
    <t>Expansion Valve (Cab)</t>
  </si>
  <si>
    <t>Logic Controller FPC08-HV(Cont) (Cab)</t>
  </si>
  <si>
    <t>Compressor - ZRH116KTE-TFD-502 (Saloon)</t>
  </si>
  <si>
    <t>Dryer filter : DML 053s (Cab)</t>
  </si>
  <si>
    <t>Condenssor air fan motor - 0.2 KW (Cab)</t>
  </si>
  <si>
    <t>FT0053013-011</t>
  </si>
  <si>
    <t>RCCB-63 amp</t>
  </si>
  <si>
    <t> Saloon kit parts </t>
  </si>
  <si>
    <t>FT0053009-K00</t>
  </si>
  <si>
    <t>Mixed/Reurn Air filter</t>
  </si>
  <si>
    <t>FT0051861-001</t>
  </si>
  <si>
    <t>Seld Adhesive sealing tape (pasted with RAD)</t>
  </si>
  <si>
    <t>FT0053104-063</t>
  </si>
  <si>
    <t>FT0053013-13</t>
  </si>
  <si>
    <t>Female connectors (3 pole)</t>
  </si>
  <si>
    <t>FT0053013-14</t>
  </si>
  <si>
    <t>Male connectors (3 pole)</t>
  </si>
  <si>
    <t>FT0053013-12</t>
  </si>
  <si>
    <t>1.5 Sq mm TAB contacts(male)</t>
  </si>
  <si>
    <t>FT0053014-08</t>
  </si>
  <si>
    <t xml:space="preserve">Receptacle Contacts </t>
  </si>
  <si>
    <t>FT0053014-07</t>
  </si>
  <si>
    <t>Seal Cavity Plug</t>
  </si>
  <si>
    <t>12.1401.0203</t>
  </si>
  <si>
    <t>Hexagonal nut M6 GB/T6170-A2-70</t>
  </si>
  <si>
    <t>12.1401.1002</t>
  </si>
  <si>
    <t>Locking washer BN80074-6-A4</t>
  </si>
  <si>
    <t>FT0052179-002</t>
  </si>
  <si>
    <t>Captive Screw</t>
  </si>
  <si>
    <t>FT0052179-003</t>
  </si>
  <si>
    <t>Receptacle</t>
  </si>
  <si>
    <t>FT0052179-004</t>
  </si>
  <si>
    <t>Retaining Washer</t>
  </si>
  <si>
    <t>Air damper actuator (assembled with RAD)</t>
  </si>
  <si>
    <t>12.1401.0309</t>
  </si>
  <si>
    <t>Hexagonal bolt M6*16 GB/T5783</t>
  </si>
  <si>
    <t>Hex head screw M16x40 (SS)-8.8</t>
  </si>
  <si>
    <t>Hex head M16 (St. Steel)</t>
  </si>
  <si>
    <t>Plain washer A16 (SS -AISI304)</t>
  </si>
  <si>
    <t>Spring lock washer B16 (SS)</t>
  </si>
  <si>
    <t>i)</t>
  </si>
  <si>
    <t>ii)</t>
  </si>
  <si>
    <t>iii)</t>
  </si>
  <si>
    <t>iv)</t>
  </si>
  <si>
    <t>v)</t>
  </si>
  <si>
    <t>vi)</t>
  </si>
  <si>
    <t>vii)</t>
  </si>
  <si>
    <t>ix)</t>
  </si>
  <si>
    <t>x)</t>
  </si>
  <si>
    <t>xi)</t>
  </si>
  <si>
    <t>xii)</t>
  </si>
  <si>
    <t>xiii)</t>
  </si>
  <si>
    <t>xiv)</t>
  </si>
  <si>
    <t>xv)</t>
  </si>
  <si>
    <t>xvi)</t>
  </si>
  <si>
    <t>xvii)</t>
  </si>
  <si>
    <t>xviii)</t>
  </si>
  <si>
    <t>xix)</t>
  </si>
  <si>
    <t>xx)</t>
  </si>
  <si>
    <t>xxi)</t>
  </si>
  <si>
    <t>xxii)</t>
  </si>
  <si>
    <t>xxiii)</t>
  </si>
  <si>
    <t>No.</t>
  </si>
  <si>
    <t>Piece</t>
  </si>
  <si>
    <t>RA-Filter - L-Angle                                                   (welded with MA filter)</t>
  </si>
  <si>
    <t>Auxiliary Switch - 3 m cable                  (assembled with RAD)</t>
  </si>
  <si>
    <t>Location</t>
  </si>
  <si>
    <t>20.01.20</t>
  </si>
  <si>
    <t>04.05.19</t>
  </si>
  <si>
    <t>16.05.19</t>
  </si>
  <si>
    <t>Issued  To</t>
  </si>
  <si>
    <t>Issued  Date</t>
  </si>
  <si>
    <t>Train No</t>
  </si>
  <si>
    <t>Items Sl No</t>
  </si>
  <si>
    <t>Faulty Items Details</t>
  </si>
  <si>
    <t>Issue To</t>
  </si>
  <si>
    <t>Issued Date</t>
  </si>
  <si>
    <t>1. 315281-00000212(1217)</t>
  </si>
  <si>
    <t>1. 315281-00000320</t>
  </si>
  <si>
    <t>03.12.19</t>
  </si>
  <si>
    <t>31.07.19</t>
  </si>
  <si>
    <t>04.11.19</t>
  </si>
  <si>
    <t>13.03.19</t>
  </si>
  <si>
    <t>DC No</t>
  </si>
  <si>
    <t>1. 05.12.19</t>
  </si>
  <si>
    <t>1. 0575</t>
  </si>
  <si>
    <t>1. 0371</t>
  </si>
  <si>
    <t>21.11.19</t>
  </si>
  <si>
    <t>1. AD18515692</t>
  </si>
  <si>
    <t>1. Amit / Shilpa</t>
  </si>
  <si>
    <t>viii)</t>
  </si>
  <si>
    <t>18.02.2020</t>
  </si>
  <si>
    <t>2127822-120014(0101)</t>
  </si>
  <si>
    <t>2024008-120001-0101</t>
  </si>
  <si>
    <t>07.12.19</t>
  </si>
  <si>
    <t>1. Maloy/Allen</t>
  </si>
  <si>
    <t>1. 02.08.19</t>
  </si>
  <si>
    <t>1. Vivek/ Rana</t>
  </si>
  <si>
    <t>1. 23.08.19</t>
  </si>
  <si>
    <t>1. BN:W17558</t>
  </si>
  <si>
    <t>TS#11,DM2</t>
  </si>
  <si>
    <t>1. 26.08.19</t>
  </si>
  <si>
    <t>1. WKV1-T28/19/0730/29</t>
  </si>
  <si>
    <t>1.  Maloy/vivek</t>
  </si>
  <si>
    <t>Circuit Board (LAD06A)</t>
  </si>
  <si>
    <t>1. 14.02.20</t>
  </si>
  <si>
    <t>1. ZO8422072</t>
  </si>
  <si>
    <t>1. 18.06.19</t>
  </si>
  <si>
    <t>1. 2919141000</t>
  </si>
  <si>
    <t>1. ZO9144386</t>
  </si>
  <si>
    <t>Issued item Sl No</t>
  </si>
  <si>
    <t>Issued Items Sl No</t>
  </si>
  <si>
    <t>19.02.20</t>
  </si>
  <si>
    <t xml:space="preserve"> Allen/Rana</t>
  </si>
  <si>
    <t xml:space="preserve"> 07.09.19</t>
  </si>
  <si>
    <t>1. Rana/Balram</t>
  </si>
  <si>
    <t>1. 28.05.19</t>
  </si>
  <si>
    <t>Circuit Board (LAD05A)</t>
  </si>
  <si>
    <t xml:space="preserve">Received Qty      </t>
  </si>
  <si>
    <t>08.05.19</t>
  </si>
  <si>
    <t>1. Maloy &amp; Sunil</t>
  </si>
  <si>
    <t>DC Copy SL No</t>
  </si>
  <si>
    <t>Dc Copy SL No</t>
  </si>
  <si>
    <t>18.02.20</t>
  </si>
  <si>
    <t>Avl with BEML as on date 18.06.20</t>
  </si>
  <si>
    <t>dc copy sl no</t>
  </si>
  <si>
    <t>DC COPY SL NO</t>
  </si>
  <si>
    <t>19.06.20</t>
  </si>
  <si>
    <t>BOX-1</t>
  </si>
  <si>
    <t>BOX-2</t>
  </si>
  <si>
    <t>BOX-5</t>
  </si>
  <si>
    <t>BOX-3, 3A</t>
  </si>
  <si>
    <t>BOX-7</t>
  </si>
  <si>
    <t>BOX-8</t>
  </si>
  <si>
    <t>BOX-4</t>
  </si>
  <si>
    <t>BOX-9</t>
  </si>
  <si>
    <t>BOX-10</t>
  </si>
  <si>
    <t>BRAKE BOX</t>
  </si>
  <si>
    <t>Circuit Board (KSN01A)</t>
  </si>
  <si>
    <t>Circuit Board (LAD01B)</t>
  </si>
  <si>
    <t>02.03.20</t>
  </si>
  <si>
    <t>BOX-2A</t>
  </si>
  <si>
    <t>Solenoid valve EVR10</t>
  </si>
  <si>
    <t>MPCB - Condenser fan &amp; SAF (Cab)</t>
  </si>
  <si>
    <t>Centrifugal fan assenbly(Supply Fan)-saloon</t>
  </si>
  <si>
    <t>Compressor ZR28K3E-TFD-522-CAB</t>
  </si>
  <si>
    <t>MPCB - 20Amp-Saloon</t>
  </si>
  <si>
    <t>MPCB - 4Amp-Saloon</t>
  </si>
  <si>
    <t>Low pressure switch-Cab</t>
  </si>
  <si>
    <t>MPCB - Compressor-CAB</t>
  </si>
  <si>
    <t>Contactor (110 VDC)-CAB</t>
  </si>
  <si>
    <t>02.07.20</t>
  </si>
  <si>
    <t xml:space="preserve">                                                                                                                                                                                                                      </t>
  </si>
  <si>
    <t>Same material returned.</t>
  </si>
  <si>
    <t>Recouped qty</t>
  </si>
  <si>
    <t>Recouped Qty</t>
  </si>
  <si>
    <t>ZO8162762</t>
  </si>
  <si>
    <t>FAULTY ITEMS DETAILS</t>
  </si>
  <si>
    <t>AD17265689</t>
  </si>
  <si>
    <t>ZO8071511</t>
  </si>
  <si>
    <t>WKV1-T27/18/0500/29</t>
  </si>
  <si>
    <t>1. VIVEK/SUNIL</t>
  </si>
  <si>
    <t>06.05.20</t>
  </si>
  <si>
    <t>BN:W17557</t>
  </si>
  <si>
    <t>1. Vivek/ Sunil</t>
  </si>
  <si>
    <t>Gate Pass No 93</t>
  </si>
  <si>
    <t>BOX-02</t>
  </si>
  <si>
    <t>Distributor Valve (STV)</t>
  </si>
  <si>
    <t>Bangalore</t>
  </si>
  <si>
    <t>14.12.19</t>
  </si>
  <si>
    <t>II88960/024</t>
  </si>
  <si>
    <t>Anti Skid valve</t>
  </si>
  <si>
    <t>07.08.20</t>
  </si>
  <si>
    <t>II102629/57124MX</t>
  </si>
  <si>
    <t>Brake caliper unit</t>
  </si>
  <si>
    <t>II99620/110</t>
  </si>
  <si>
    <t>Magnetic valve without plug</t>
  </si>
  <si>
    <t>II47482/OE03A09</t>
  </si>
  <si>
    <t>Oil separator</t>
  </si>
  <si>
    <t>II46448/001</t>
  </si>
  <si>
    <t>Relay valve</t>
  </si>
  <si>
    <t>II102628/24MX</t>
  </si>
  <si>
    <t>Remarks</t>
  </si>
  <si>
    <r>
      <t xml:space="preserve">DLP Spares Received in KMRCL METRO Depot </t>
    </r>
    <r>
      <rPr>
        <b/>
        <sz val="22"/>
        <color rgb="FFFF0000"/>
        <rFont val="Algerian"/>
        <family val="5"/>
      </rPr>
      <t>(</t>
    </r>
    <r>
      <rPr>
        <b/>
        <sz val="22"/>
        <color theme="1"/>
        <rFont val="Algerian"/>
        <family val="5"/>
      </rPr>
      <t xml:space="preserve"> AAL </t>
    </r>
    <r>
      <rPr>
        <b/>
        <sz val="22"/>
        <color rgb="FFFF0000"/>
        <rFont val="Algerian"/>
        <family val="5"/>
      </rPr>
      <t>)   date :07.08.20</t>
    </r>
  </si>
  <si>
    <t>Hexagon Nut</t>
  </si>
  <si>
    <t xml:space="preserve">Flat Washer </t>
  </si>
  <si>
    <t>Hardware kit</t>
  </si>
  <si>
    <t>3TD15782R01</t>
  </si>
  <si>
    <t>kohail/Shilpa</t>
  </si>
  <si>
    <t>Kohail/Arghya</t>
  </si>
  <si>
    <t>Stock to be provided by firm 07.08.20</t>
  </si>
  <si>
    <t>7M6301010</t>
  </si>
  <si>
    <t xml:space="preserve"> Cellular Rubber</t>
  </si>
  <si>
    <t>C01 E.Parts Loose</t>
  </si>
  <si>
    <t>1.Pritesh/Kohail</t>
  </si>
  <si>
    <t>14.08.20</t>
  </si>
  <si>
    <t>CH1519061010</t>
  </si>
  <si>
    <t>Brake caliper unit (Repair)</t>
  </si>
  <si>
    <t>CAR NO</t>
  </si>
  <si>
    <t>NCR NO</t>
  </si>
  <si>
    <t>1) 167</t>
  </si>
  <si>
    <t>1) 139</t>
  </si>
  <si>
    <t>TS#07,TC-1,Vac-2.</t>
  </si>
  <si>
    <t>TS#08,Mc1 ,Vac-1.</t>
  </si>
  <si>
    <t>1) 100</t>
  </si>
  <si>
    <t>TS#01,TC-2,VAC-2.</t>
  </si>
  <si>
    <t>1) 108</t>
  </si>
  <si>
    <t>TS#02,DM1.</t>
  </si>
  <si>
    <t>1) 107</t>
  </si>
  <si>
    <t>1. TS#03,DM2,VAC1.</t>
  </si>
  <si>
    <t>1) 81</t>
  </si>
  <si>
    <t>1. TS# 01,DMC1,B-2.</t>
  </si>
  <si>
    <t>1) 40</t>
  </si>
  <si>
    <t>1) 72</t>
  </si>
  <si>
    <t>1) 138</t>
  </si>
  <si>
    <t>1) 74</t>
  </si>
  <si>
    <t>TS#10.</t>
  </si>
  <si>
    <t>TS#5,M1.</t>
  </si>
  <si>
    <t>TS#02,DM2,B1.</t>
  </si>
  <si>
    <t>TS#6,T1,B2.</t>
  </si>
  <si>
    <t>1) 48</t>
  </si>
  <si>
    <t>1. TS# 09.</t>
  </si>
  <si>
    <t>DC copy sl no</t>
  </si>
  <si>
    <t>14.09.20</t>
  </si>
  <si>
    <t xml:space="preserve">TS#14, DM1 </t>
  </si>
  <si>
    <t>A0215</t>
  </si>
  <si>
    <t>A0252</t>
  </si>
  <si>
    <t>Allen/ Rana</t>
  </si>
  <si>
    <t>TS#14,T1</t>
  </si>
  <si>
    <t>Last items taken and same materials return</t>
  </si>
  <si>
    <t>25.09.20</t>
  </si>
  <si>
    <t>20.10.20</t>
  </si>
  <si>
    <t>19.09.20</t>
  </si>
  <si>
    <t>1. Amit / Sunil</t>
  </si>
  <si>
    <t>1.TS#05,T1,V1,C1</t>
  </si>
  <si>
    <t>1.18BE5473Z</t>
  </si>
  <si>
    <t>1. 18JD4520Z</t>
  </si>
  <si>
    <t>1. 19.10.20</t>
  </si>
  <si>
    <t>27.10.20</t>
  </si>
  <si>
    <t>09.11.20</t>
  </si>
  <si>
    <t>19.11.20</t>
  </si>
  <si>
    <t>02.07.19</t>
  </si>
  <si>
    <t>1. 28.08.20</t>
  </si>
  <si>
    <t>Sunil/Amit</t>
  </si>
  <si>
    <t>01.12.20</t>
  </si>
  <si>
    <t>1) 211</t>
  </si>
  <si>
    <t>Sunil/Kohail</t>
  </si>
  <si>
    <t>02.12.20</t>
  </si>
  <si>
    <t>01787/1829</t>
  </si>
  <si>
    <t>01780/1829</t>
  </si>
  <si>
    <t>TS#13,MC2,VAC2</t>
  </si>
  <si>
    <t>TS#04,TC2,VAC2,CDF1</t>
  </si>
  <si>
    <t>18.12.20</t>
  </si>
  <si>
    <t>Vibration damper for Saloon -Compressor</t>
  </si>
  <si>
    <t xml:space="preserve">Control Panel </t>
  </si>
  <si>
    <t>Control Panel Assembly W/O Con Parts Kit</t>
  </si>
  <si>
    <t>_</t>
  </si>
  <si>
    <t>FT0053012-003</t>
  </si>
  <si>
    <t>FT0053013-102</t>
  </si>
  <si>
    <t>Pins Female -16mm2</t>
  </si>
  <si>
    <t xml:space="preserve">Frame Female </t>
  </si>
  <si>
    <t xml:space="preserve">Locking Element for Hinged Frame </t>
  </si>
  <si>
    <t>Female Module Gray 2 Pos</t>
  </si>
  <si>
    <t>16 Pos Female Crimp Termition</t>
  </si>
  <si>
    <t>Pins Female -1.5mm2 (Silver)</t>
  </si>
  <si>
    <t>Pins Female - 2.5mm2(Silver)</t>
  </si>
  <si>
    <t>Hood Side Entry  HC M40</t>
  </si>
  <si>
    <t>Hood Gland M40</t>
  </si>
  <si>
    <t xml:space="preserve">DSUB Conn 9 Pos Male </t>
  </si>
  <si>
    <t xml:space="preserve">Terminal 0.25-0.56mm2 Male Gold </t>
  </si>
  <si>
    <t>D-Sub Hood 9 Pole Top &amp; Side Entry 4-40</t>
  </si>
  <si>
    <t>Female Screw Lock 4-40/M3</t>
  </si>
  <si>
    <t>Connector 32Poss (HEE-032F)</t>
  </si>
  <si>
    <t>4 mm2 Female Terminal Silver  (CEF-4.0)</t>
  </si>
  <si>
    <t>2.5mm2 Female Terminal Silver  (CEF-2.5)</t>
  </si>
  <si>
    <t>1.5mm2 Female Terminal Silver  (CEF-1.5)</t>
  </si>
  <si>
    <t>Connector 72 Pos (HDD-072F)</t>
  </si>
  <si>
    <t>0.75mm2 Female Terminal Gold (DDF-0.75)</t>
  </si>
  <si>
    <t>Hood Side Entry High Const. M40</t>
  </si>
  <si>
    <t>Metal Glands M40 (DLX-40M)</t>
  </si>
  <si>
    <t>Faiveley Logo  Printed Label</t>
  </si>
  <si>
    <t>Conn 16 Pos Recept Black</t>
  </si>
  <si>
    <t>A348-013-3075-00</t>
  </si>
  <si>
    <t>A348-002-3017-00</t>
  </si>
  <si>
    <t>A348-003-3028-00</t>
  </si>
  <si>
    <t>A348-012-3041-00</t>
  </si>
  <si>
    <t>A348-012-3124-00</t>
  </si>
  <si>
    <t>A348-013-3046-00</t>
  </si>
  <si>
    <t>A348-013-3045-00</t>
  </si>
  <si>
    <t>A348-002-3013-00</t>
  </si>
  <si>
    <t>A348-002-3014-00</t>
  </si>
  <si>
    <t>A348-012-3006-00</t>
  </si>
  <si>
    <t>A348-013-3002-00</t>
  </si>
  <si>
    <t>A348-003-3048-00</t>
  </si>
  <si>
    <t>A348-002-3002-00</t>
  </si>
  <si>
    <t>A348-012-3004-00</t>
  </si>
  <si>
    <t>A348-003-3009-00</t>
  </si>
  <si>
    <t>A348-002-3016-00</t>
  </si>
  <si>
    <t>A348-002-3015-00</t>
  </si>
  <si>
    <t>A348-013-3083-00</t>
  </si>
  <si>
    <t>A348-012-3128-00</t>
  </si>
  <si>
    <t>A348-013-3081-00</t>
  </si>
  <si>
    <t>A348-013-3080-00</t>
  </si>
  <si>
    <t>A348-013-3079-00</t>
  </si>
  <si>
    <t>A348-012-3126-00</t>
  </si>
  <si>
    <t>NO</t>
  </si>
  <si>
    <t>FT0053012-102</t>
  </si>
  <si>
    <t>Condenssor Fan Asembly .                                       (1. Motor-6 &amp; 2. Fan- 6 Nos )</t>
  </si>
  <si>
    <t>FT00551800-002</t>
  </si>
  <si>
    <t>1. 28.10.20</t>
  </si>
  <si>
    <t>ZO8212725</t>
  </si>
  <si>
    <t>TS#06,M1,BECU1</t>
  </si>
  <si>
    <t>1. 12.12.20</t>
  </si>
  <si>
    <t>1. Kishore/Maloy</t>
  </si>
  <si>
    <t>Art-31143643,  PA-32532079</t>
  </si>
  <si>
    <t>Prt-P1545B075132, Pa-32185200</t>
  </si>
  <si>
    <t>TS#07,DM1</t>
  </si>
  <si>
    <t>1. Sunil/Rana</t>
  </si>
  <si>
    <t>1. 30.12.20</t>
  </si>
  <si>
    <t>01/220/0052</t>
  </si>
  <si>
    <t>02/200/0070</t>
  </si>
  <si>
    <t>TS#13,M2,L3</t>
  </si>
  <si>
    <t>1) 225</t>
  </si>
  <si>
    <t>01.02.21</t>
  </si>
  <si>
    <t>1. 164</t>
  </si>
  <si>
    <t xml:space="preserve">Location </t>
  </si>
  <si>
    <t>Contactor-Saloon Compressor (110VDC)</t>
  </si>
  <si>
    <t>5 No Sending by KBI Connector Replacement Parpus.</t>
  </si>
  <si>
    <t>04.03.21</t>
  </si>
  <si>
    <r>
      <t xml:space="preserve">DLP Materials Received in KMRCL METRO Depot </t>
    </r>
    <r>
      <rPr>
        <b/>
        <sz val="22"/>
        <color rgb="FFFF0000"/>
        <rFont val="Algerian"/>
        <family val="5"/>
      </rPr>
      <t xml:space="preserve">( </t>
    </r>
    <r>
      <rPr>
        <b/>
        <sz val="22"/>
        <color theme="1"/>
        <rFont val="Algerian"/>
        <family val="5"/>
      </rPr>
      <t xml:space="preserve">KBI-Door </t>
    </r>
    <r>
      <rPr>
        <b/>
        <sz val="22"/>
        <color rgb="FFFF0000"/>
        <rFont val="Algerian"/>
        <family val="5"/>
      </rPr>
      <t>)            Date : 13.03.2021</t>
    </r>
  </si>
  <si>
    <r>
      <t xml:space="preserve">DLP Materials Received IN KMRCL METRO Depot </t>
    </r>
    <r>
      <rPr>
        <b/>
        <sz val="20"/>
        <color rgb="FFFF0000"/>
        <rFont val="Algerian"/>
        <family val="5"/>
      </rPr>
      <t>(</t>
    </r>
    <r>
      <rPr>
        <b/>
        <sz val="20"/>
        <color theme="1"/>
        <rFont val="Algerian"/>
        <family val="5"/>
      </rPr>
      <t xml:space="preserve"> KBI</t>
    </r>
    <r>
      <rPr>
        <b/>
        <sz val="20"/>
        <color rgb="FFFF0000"/>
        <rFont val="Algerian"/>
        <family val="5"/>
      </rPr>
      <t xml:space="preserve">  </t>
    </r>
    <r>
      <rPr>
        <b/>
        <sz val="20"/>
        <color theme="1"/>
        <rFont val="Algerian"/>
        <family val="5"/>
      </rPr>
      <t>Brake</t>
    </r>
    <r>
      <rPr>
        <b/>
        <sz val="20"/>
        <color rgb="FFFF0000"/>
        <rFont val="Algerian"/>
        <family val="5"/>
      </rPr>
      <t>)      date :13.03.2021</t>
    </r>
  </si>
  <si>
    <r>
      <t xml:space="preserve">DLP Materials Received in KMRCL METRO Depot </t>
    </r>
    <r>
      <rPr>
        <b/>
        <sz val="22"/>
        <color rgb="FFFF0000"/>
        <rFont val="Algerian"/>
        <family val="5"/>
      </rPr>
      <t>(</t>
    </r>
    <r>
      <rPr>
        <b/>
        <sz val="22"/>
        <color theme="1"/>
        <rFont val="Algerian"/>
        <family val="5"/>
      </rPr>
      <t xml:space="preserve">vac- Faiveley </t>
    </r>
    <r>
      <rPr>
        <b/>
        <sz val="22"/>
        <color rgb="FFFF0000"/>
        <rFont val="Algerian"/>
        <family val="5"/>
      </rPr>
      <t>)   Date :13.03.2021</t>
    </r>
  </si>
  <si>
    <r>
      <t xml:space="preserve">DLP Materials Received in KMRCL METRO Depot  </t>
    </r>
    <r>
      <rPr>
        <b/>
        <sz val="22"/>
        <color rgb="FFFF0000"/>
        <rFont val="Algerian"/>
        <family val="5"/>
      </rPr>
      <t>(</t>
    </r>
    <r>
      <rPr>
        <b/>
        <sz val="22"/>
        <color theme="1"/>
        <rFont val="Algerian"/>
        <family val="5"/>
      </rPr>
      <t>vcc-River Engineering</t>
    </r>
    <r>
      <rPr>
        <b/>
        <sz val="22"/>
        <color rgb="FFFF0000"/>
        <rFont val="Algerian"/>
        <family val="5"/>
      </rPr>
      <t>)   date :13.03.21</t>
    </r>
  </si>
  <si>
    <r>
      <t xml:space="preserve">DLP Materials Received in KMRCL METRO Depot </t>
    </r>
    <r>
      <rPr>
        <b/>
        <sz val="20"/>
        <color rgb="FFFF0000"/>
        <rFont val="Algerian"/>
        <family val="5"/>
      </rPr>
      <t>(</t>
    </r>
    <r>
      <rPr>
        <b/>
        <sz val="20"/>
        <color theme="1"/>
        <rFont val="Algerian"/>
        <family val="5"/>
      </rPr>
      <t xml:space="preserve"> TRCC-STEMMAN TECHINK </t>
    </r>
    <r>
      <rPr>
        <b/>
        <sz val="20"/>
        <color rgb="FFFF0000"/>
        <rFont val="Algerian"/>
        <family val="5"/>
      </rPr>
      <t>)    Date : 13.03.21</t>
    </r>
  </si>
  <si>
    <t>Avl with BEML as on date 13.03.21</t>
  </si>
  <si>
    <t>COUPLING SYSTEM (FAIVELEY TRANSPORT LIST)</t>
  </si>
  <si>
    <t>19.03.21</t>
  </si>
  <si>
    <t>FT0052881-000</t>
  </si>
  <si>
    <t>SOCKET HEAD SCREW M30*2*180</t>
  </si>
  <si>
    <t>D000285-102</t>
  </si>
  <si>
    <t>WASHER</t>
  </si>
  <si>
    <t>D002030-101</t>
  </si>
  <si>
    <t>NUT. CASTELLATED</t>
  </si>
  <si>
    <t>D001724-101</t>
  </si>
  <si>
    <t>ROLL PIN</t>
  </si>
  <si>
    <t>FT0052720-000</t>
  </si>
  <si>
    <t>PROXYMITY SWITCH WITH CABLE</t>
  </si>
  <si>
    <t>FT0052882-000</t>
  </si>
  <si>
    <t>SHEAR OFF BUSH</t>
  </si>
  <si>
    <t>D225682-100</t>
  </si>
  <si>
    <t>DISC</t>
  </si>
  <si>
    <t>FT0052881-001</t>
  </si>
  <si>
    <t>SOCKET HEAD CAP SCREW M30*2*155</t>
  </si>
  <si>
    <t>FT0052881-002</t>
  </si>
  <si>
    <t>SOCKET HEAD CAP SCREW M30*2*150</t>
  </si>
  <si>
    <t>FT0051665-000</t>
  </si>
  <si>
    <t>DOWEL PIN 6*50(HV) ASSEMBLED WITH MUFF COUPIING</t>
  </si>
  <si>
    <t>FT0052945-100</t>
  </si>
  <si>
    <t>MUFF COUPLING CPL</t>
  </si>
  <si>
    <t>FT0052062-000</t>
  </si>
  <si>
    <t>MP2K GREASE</t>
  </si>
  <si>
    <t>0.06 (KGS)</t>
  </si>
  <si>
    <t>D004202-101</t>
  </si>
  <si>
    <t>O-RING 42.20-3.00</t>
  </si>
  <si>
    <t>D228025-100</t>
  </si>
  <si>
    <t>FLANCE GASKET</t>
  </si>
  <si>
    <t>D002145-101</t>
  </si>
  <si>
    <t>SEALING RING</t>
  </si>
  <si>
    <t>FT0052091-000</t>
  </si>
  <si>
    <t>KORRTECH(1 PCE= 1 LITRE)</t>
  </si>
  <si>
    <t>PAPIS &amp; CCTV SYSTEM (TELEVIC ITEMS LIST)</t>
  </si>
  <si>
    <t>HW LRU KOLKATA TFT DISPLAY 18.5"</t>
  </si>
  <si>
    <t>HW LRU KOLKATA PEAU</t>
  </si>
  <si>
    <t>HW LRU KOLKATA ACP</t>
  </si>
  <si>
    <t>HW LRU KOLKATA CCU</t>
  </si>
  <si>
    <t>HW LRU KOLKATA PIS HMI</t>
  </si>
  <si>
    <t>HW LRU KOLKATA PIS iCOM</t>
  </si>
  <si>
    <t>HW LRU KOLKATA MICROPHONE + PTT</t>
  </si>
  <si>
    <t>HW LRU KOLKATA CAB SPEAKER</t>
  </si>
  <si>
    <t>HW LRU KOLKATA INTERIOR SPEAKER</t>
  </si>
  <si>
    <t>HW LRU KOLKATA EXTERIOR SPEAKER</t>
  </si>
  <si>
    <t>HW LRU KOLKATA PAD PUSH BUTTON</t>
  </si>
  <si>
    <t>HW LRU KOLKATA FRONT LED DISPLAY</t>
  </si>
  <si>
    <t>HW LRU KOLKATA SWITCH 28 PORTS</t>
  </si>
  <si>
    <t>HW LRU KOLKATA SWITCH 16 PORTS</t>
  </si>
  <si>
    <t>HW LRU KOLKATA DIGITAL VIDEO RECORDER</t>
  </si>
  <si>
    <t>INTERIOR LIGHTS (TEKNOWARE ITEMS LIST)</t>
  </si>
  <si>
    <t>TNV8502</t>
  </si>
  <si>
    <t>Saloonlight 110VDC 1302MM</t>
  </si>
  <si>
    <t>TNV8503</t>
  </si>
  <si>
    <t>Saloonlight 110VDC 690MM</t>
  </si>
  <si>
    <t>TLL2754</t>
  </si>
  <si>
    <t>LEDCARD 110 VDC48*0.2W 4000K 12VDC 595MM</t>
  </si>
  <si>
    <t>1000-1353</t>
  </si>
  <si>
    <t>Diffuser TVN8502 1291MM</t>
  </si>
  <si>
    <t>1000-1705</t>
  </si>
  <si>
    <t>Diffuser TVN8503 679MM</t>
  </si>
  <si>
    <t>LL709</t>
  </si>
  <si>
    <t>Connector 5 Pole/ Female</t>
  </si>
  <si>
    <t>LL708</t>
  </si>
  <si>
    <t>Locking Clip for WAGO WINSTA Connector White</t>
  </si>
  <si>
    <t>EXTERIOR LIGHTS (MAFELEC ITEMS LIST)</t>
  </si>
  <si>
    <t>Projector Head Light</t>
  </si>
  <si>
    <t>Projector Clignotant</t>
  </si>
  <si>
    <t>Door Indication Light Inside</t>
  </si>
  <si>
    <t>Door Indication Light Outside</t>
  </si>
  <si>
    <t>M/s PRESSTON (grab handle)</t>
  </si>
  <si>
    <t>Grab handle</t>
  </si>
  <si>
    <t>Grab handle bottom Cap</t>
  </si>
  <si>
    <t>Quantity recomeded by GC/KMRCL</t>
  </si>
  <si>
    <t>3 (one each for three different gauge)</t>
  </si>
  <si>
    <t>CID Board (BECU)</t>
  </si>
  <si>
    <t>DCL</t>
  </si>
  <si>
    <t>LDV</t>
  </si>
  <si>
    <t>Brake Control Unit</t>
  </si>
  <si>
    <t>Brake Pad</t>
  </si>
  <si>
    <t>BECU Rack</t>
  </si>
  <si>
    <t>Pole Wheel (Axle Mounted)</t>
  </si>
  <si>
    <t>Mean Pressure Valve</t>
  </si>
  <si>
    <t>Air Dryer</t>
  </si>
  <si>
    <t>OEM to confirm</t>
  </si>
  <si>
    <t>Buzzer</t>
  </si>
  <si>
    <t>Door Leaf</t>
  </si>
  <si>
    <t>Position Sensor</t>
  </si>
  <si>
    <t>Door Indicator Lamp</t>
  </si>
  <si>
    <t>Push Back Device</t>
  </si>
  <si>
    <t>Locking Lever</t>
  </si>
  <si>
    <t>Door Roller</t>
  </si>
  <si>
    <t>2 set</t>
  </si>
  <si>
    <t>4 set</t>
  </si>
  <si>
    <t>8 set</t>
  </si>
  <si>
    <t>Gas for Compressor</t>
  </si>
  <si>
    <t>Condenser Coil (Saloon)</t>
  </si>
  <si>
    <t>Return Air Filter(Saloon)</t>
  </si>
  <si>
    <t>Temperature Sensor(Saloon)</t>
  </si>
  <si>
    <t>DC-DC Converter(Saloon)</t>
  </si>
  <si>
    <t>Auxiliary Contact of MCB(Saloon)</t>
  </si>
  <si>
    <t>Contactor for Condenser Fan, SAF, Emergency Inverter(Saloon)</t>
  </si>
  <si>
    <t>Compressor (Cab)</t>
  </si>
  <si>
    <t>SAF Motor (Cab)</t>
  </si>
  <si>
    <t>Condenser Coil (Cab)</t>
  </si>
  <si>
    <t>Condenser Fan Assembly (Cab)</t>
  </si>
  <si>
    <t>High Pressure Switch (Cab)</t>
  </si>
  <si>
    <t>2 each</t>
  </si>
  <si>
    <t>OEM to Confirm</t>
  </si>
  <si>
    <t>Gangway Light</t>
  </si>
  <si>
    <t>Cab Light</t>
  </si>
  <si>
    <t>Dimmer Unit</t>
  </si>
  <si>
    <t>Dimmer Sensor</t>
  </si>
  <si>
    <t>Tail Light</t>
  </si>
  <si>
    <t>Flasher Light</t>
  </si>
  <si>
    <t>AAU</t>
  </si>
  <si>
    <t>Connectors and pins</t>
  </si>
  <si>
    <t>Saloon Camera</t>
  </si>
  <si>
    <t>DLP Materials Needed for propulsion system</t>
  </si>
  <si>
    <t>Required Qty</t>
  </si>
  <si>
    <t>Traction Motor Complete</t>
  </si>
  <si>
    <t>Traction Inverter Complete</t>
  </si>
  <si>
    <t>Auxiliary Power Supply Module Complete</t>
  </si>
  <si>
    <t>TMS Central Unit (CU)</t>
  </si>
  <si>
    <t>TMS Local Unit (LU)</t>
  </si>
  <si>
    <t>TMS Display Unit &amp; Display Controller</t>
  </si>
  <si>
    <t>TMS Interface Unit</t>
  </si>
  <si>
    <t>SHD</t>
  </si>
  <si>
    <t>STD</t>
  </si>
  <si>
    <t>HMI</t>
  </si>
  <si>
    <t>CCU</t>
  </si>
  <si>
    <t>LHD</t>
  </si>
  <si>
    <t>Connectors</t>
  </si>
  <si>
    <t>Damper</t>
  </si>
  <si>
    <t>Conical Spring</t>
  </si>
  <si>
    <t>Mono link</t>
  </si>
  <si>
    <t xml:space="preserve">Bogie Frame </t>
  </si>
  <si>
    <t>Complete Bogie (M car)</t>
  </si>
  <si>
    <t>Complete Bogie (T car)</t>
  </si>
  <si>
    <t>MRD</t>
  </si>
  <si>
    <t>All different types of relay</t>
  </si>
  <si>
    <t xml:space="preserve">External Camera </t>
  </si>
  <si>
    <t xml:space="preserve">Emergency ladder fasteners set </t>
  </si>
  <si>
    <t xml:space="preserve">2 Ladder set </t>
  </si>
  <si>
    <t>1 Set</t>
  </si>
  <si>
    <t>Loking Hing</t>
  </si>
  <si>
    <t>5 Nos</t>
  </si>
  <si>
    <t xml:space="preserve">Saloon VAC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</si>
</sst>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9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1"/>
      <name val="돋움"/>
      <charset val="129"/>
    </font>
    <font>
      <strike/>
      <sz val="10"/>
      <color indexed="8"/>
      <name val="Arial"/>
      <family val="2"/>
    </font>
    <font>
      <sz val="11"/>
      <name val="ＭＳ Ｐゴシック"/>
      <family val="3"/>
      <charset val="128"/>
    </font>
    <font>
      <b/>
      <sz val="10"/>
      <color indexed="8"/>
      <name val="Arial"/>
      <family val="2"/>
    </font>
    <font>
      <strike/>
      <sz val="10"/>
      <name val="Arial"/>
      <family val="2"/>
    </font>
    <font>
      <sz val="10"/>
      <color indexed="8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indexed="8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Arial"/>
      <family val="2"/>
    </font>
    <font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sz val="11"/>
      <name val="Arial"/>
      <family val="2"/>
    </font>
    <font>
      <sz val="12"/>
      <name val="Calibri"/>
      <family val="2"/>
      <scheme val="minor"/>
    </font>
    <font>
      <sz val="11"/>
      <color indexed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1"/>
      <name val="Algerian"/>
      <family val="5"/>
    </font>
    <font>
      <b/>
      <sz val="22"/>
      <color theme="1"/>
      <name val="Algerian"/>
      <family val="5"/>
    </font>
    <font>
      <b/>
      <sz val="20"/>
      <color theme="1"/>
      <name val="Algerian"/>
      <family val="5"/>
    </font>
    <font>
      <sz val="14"/>
      <color theme="1"/>
      <name val="Algerian"/>
      <family val="5"/>
    </font>
    <font>
      <b/>
      <sz val="12"/>
      <color theme="1"/>
      <name val="Batang"/>
      <family val="1"/>
      <charset val="129"/>
    </font>
    <font>
      <b/>
      <sz val="14"/>
      <color theme="1"/>
      <name val="Bahnschrift"/>
      <family val="2"/>
    </font>
    <font>
      <b/>
      <sz val="12"/>
      <color theme="1"/>
      <name val="Arial Black"/>
      <family val="2"/>
    </font>
    <font>
      <b/>
      <sz val="12"/>
      <color theme="1"/>
      <name val="Bahnschrift SemiBold Condensed"/>
      <family val="2"/>
    </font>
    <font>
      <b/>
      <sz val="22"/>
      <color rgb="FFFF0000"/>
      <name val="Algerian"/>
      <family val="5"/>
    </font>
    <font>
      <b/>
      <sz val="20"/>
      <color rgb="FFFF0000"/>
      <name val="Algerian"/>
      <family val="5"/>
    </font>
    <font>
      <sz val="12"/>
      <color theme="1"/>
      <name val="Algerian"/>
      <family val="5"/>
    </font>
    <font>
      <b/>
      <sz val="10"/>
      <color rgb="FF7030A0"/>
      <name val="Arial Black"/>
      <family val="2"/>
    </font>
    <font>
      <sz val="12"/>
      <color rgb="FF7030A0"/>
      <name val="Arial"/>
      <family val="2"/>
    </font>
    <font>
      <b/>
      <sz val="12"/>
      <color rgb="FF7030A0"/>
      <name val="Arial"/>
      <family val="2"/>
    </font>
    <font>
      <b/>
      <sz val="12"/>
      <color rgb="FF7030A0"/>
      <name val="Arial Rounded MT Bold"/>
      <family val="2"/>
    </font>
    <font>
      <sz val="12"/>
      <color rgb="FF7030A0"/>
      <name val="Bahnschrift"/>
      <family val="2"/>
    </font>
    <font>
      <b/>
      <sz val="12"/>
      <color rgb="FF7030A0"/>
      <name val="Bahnschrift"/>
      <family val="2"/>
    </font>
    <font>
      <b/>
      <sz val="12"/>
      <color theme="1"/>
      <name val="Arial Narrow"/>
      <family val="2"/>
    </font>
    <font>
      <b/>
      <sz val="14"/>
      <color theme="1"/>
      <name val="Arial Narrow"/>
      <family val="2"/>
    </font>
    <font>
      <b/>
      <sz val="14"/>
      <color theme="1"/>
      <name val="Bahnschrift Light Condensed"/>
      <family val="2"/>
    </font>
    <font>
      <b/>
      <sz val="16"/>
      <color theme="1"/>
      <name val="Bahnschrift Light Condensed"/>
      <family val="2"/>
    </font>
    <font>
      <b/>
      <sz val="11"/>
      <name val="Bahnschrift Light Condensed"/>
      <family val="2"/>
    </font>
    <font>
      <b/>
      <sz val="12"/>
      <color theme="1"/>
      <name val="Bahnschrift Light Condensed"/>
      <family val="2"/>
    </font>
    <font>
      <b/>
      <sz val="11"/>
      <color theme="1"/>
      <name val="Bahnschrift Light Condensed"/>
      <family val="2"/>
    </font>
    <font>
      <b/>
      <sz val="12"/>
      <color theme="1"/>
      <name val="Bahnschrift Light"/>
      <family val="2"/>
    </font>
    <font>
      <b/>
      <sz val="10"/>
      <name val="Bahnschrift Light"/>
      <family val="2"/>
    </font>
    <font>
      <sz val="14"/>
      <color theme="1"/>
      <name val="Bahnschrift Light Condensed"/>
      <family val="2"/>
    </font>
    <font>
      <b/>
      <sz val="14"/>
      <name val="Bahnschrift Light Condensed"/>
      <family val="2"/>
    </font>
    <font>
      <b/>
      <sz val="11"/>
      <color theme="1"/>
      <name val="Bahnschrift"/>
      <family val="2"/>
    </font>
    <font>
      <b/>
      <sz val="16"/>
      <color theme="1"/>
      <name val="Bahnschrift"/>
      <family val="2"/>
    </font>
    <font>
      <b/>
      <sz val="18"/>
      <color theme="1"/>
      <name val="Bahnschrift"/>
      <family val="2"/>
    </font>
    <font>
      <b/>
      <sz val="12"/>
      <color theme="1"/>
      <name val="Bahnschrift"/>
      <family val="2"/>
    </font>
    <font>
      <b/>
      <sz val="12"/>
      <color rgb="FFFF0000"/>
      <name val="Bahnschrift Light Condensed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rgb="FF00B050"/>
        <bgColor indexed="64"/>
      </patternFill>
    </fill>
    <fill>
      <patternFill patternType="solid">
        <fgColor rgb="FFA1FBAA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0" fontId="5" fillId="0" borderId="0"/>
    <xf numFmtId="0" fontId="7" fillId="0" borderId="0">
      <alignment vertical="center"/>
    </xf>
  </cellStyleXfs>
  <cellXfs count="465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19" fillId="0" borderId="0" xfId="0" applyFont="1"/>
    <xf numFmtId="0" fontId="19" fillId="0" borderId="4" xfId="0" applyFont="1" applyBorder="1"/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13" fillId="3" borderId="0" xfId="0" applyFont="1" applyFill="1" applyBorder="1"/>
    <xf numFmtId="0" fontId="11" fillId="3" borderId="0" xfId="0" applyFont="1" applyFill="1" applyBorder="1"/>
    <xf numFmtId="0" fontId="12" fillId="3" borderId="0" xfId="0" applyFont="1" applyFill="1" applyBorder="1"/>
    <xf numFmtId="0" fontId="20" fillId="0" borderId="1" xfId="0" applyFont="1" applyBorder="1"/>
    <xf numFmtId="0" fontId="20" fillId="0" borderId="0" xfId="0" applyFont="1"/>
    <xf numFmtId="0" fontId="20" fillId="0" borderId="1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14" fontId="20" fillId="0" borderId="0" xfId="0" applyNumberFormat="1" applyFont="1" applyBorder="1" applyAlignment="1">
      <alignment horizontal="center" vertical="center"/>
    </xf>
    <xf numFmtId="0" fontId="22" fillId="0" borderId="0" xfId="0" applyFont="1" applyBorder="1" applyAlignment="1">
      <alignment horizontal="justify" vertical="top" wrapText="1"/>
    </xf>
    <xf numFmtId="0" fontId="20" fillId="0" borderId="0" xfId="0" applyFont="1" applyBorder="1"/>
    <xf numFmtId="0" fontId="2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 wrapText="1"/>
    </xf>
    <xf numFmtId="0" fontId="3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justify" vertical="top" wrapText="1"/>
    </xf>
    <xf numFmtId="0" fontId="4" fillId="0" borderId="1" xfId="3" applyFont="1" applyBorder="1">
      <alignment vertical="center"/>
    </xf>
    <xf numFmtId="0" fontId="4" fillId="0" borderId="1" xfId="3" applyFont="1" applyBorder="1" applyAlignment="1">
      <alignment vertical="center" wrapText="1"/>
    </xf>
    <xf numFmtId="0" fontId="8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10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justify" vertical="top" wrapText="1"/>
    </xf>
    <xf numFmtId="0" fontId="14" fillId="3" borderId="1" xfId="0" applyFont="1" applyFill="1" applyBorder="1" applyAlignment="1">
      <alignment vertical="top" wrapText="1"/>
    </xf>
    <xf numFmtId="0" fontId="13" fillId="3" borderId="1" xfId="0" applyFont="1" applyFill="1" applyBorder="1"/>
    <xf numFmtId="0" fontId="11" fillId="3" borderId="1" xfId="0" applyFont="1" applyFill="1" applyBorder="1"/>
    <xf numFmtId="0" fontId="12" fillId="3" borderId="1" xfId="0" applyFont="1" applyFill="1" applyBorder="1"/>
    <xf numFmtId="0" fontId="0" fillId="0" borderId="1" xfId="3" applyFont="1" applyBorder="1">
      <alignment vertical="center"/>
    </xf>
    <xf numFmtId="0" fontId="0" fillId="0" borderId="0" xfId="0" applyFont="1"/>
    <xf numFmtId="0" fontId="25" fillId="0" borderId="1" xfId="0" applyFont="1" applyBorder="1" applyAlignment="1">
      <alignment horizontal="justify" vertical="top" wrapText="1"/>
    </xf>
    <xf numFmtId="0" fontId="26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justify" vertical="top" wrapText="1"/>
    </xf>
    <xf numFmtId="0" fontId="0" fillId="3" borderId="1" xfId="0" applyFont="1" applyFill="1" applyBorder="1" applyAlignment="1">
      <alignment horizontal="center" vertical="center"/>
    </xf>
    <xf numFmtId="0" fontId="19" fillId="0" borderId="0" xfId="0" applyFont="1" applyBorder="1"/>
    <xf numFmtId="0" fontId="0" fillId="0" borderId="2" xfId="0" applyBorder="1"/>
    <xf numFmtId="0" fontId="0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justify" vertical="center" wrapText="1"/>
    </xf>
    <xf numFmtId="0" fontId="26" fillId="0" borderId="1" xfId="0" applyFont="1" applyBorder="1" applyAlignment="1">
      <alignment vertical="top" wrapText="1"/>
    </xf>
    <xf numFmtId="0" fontId="25" fillId="3" borderId="1" xfId="0" applyFont="1" applyFill="1" applyBorder="1" applyAlignment="1">
      <alignment horizontal="justify" vertical="top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0" fontId="28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top" wrapText="1"/>
    </xf>
    <xf numFmtId="0" fontId="0" fillId="0" borderId="0" xfId="0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/>
    <xf numFmtId="0" fontId="12" fillId="0" borderId="1" xfId="0" applyFont="1" applyBorder="1" applyAlignment="1">
      <alignment horizontal="center"/>
    </xf>
    <xf numFmtId="0" fontId="12" fillId="6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left" vertical="center"/>
    </xf>
    <xf numFmtId="0" fontId="29" fillId="0" borderId="1" xfId="0" applyFont="1" applyBorder="1" applyAlignment="1">
      <alignment horizontal="left" vertical="center"/>
    </xf>
    <xf numFmtId="0" fontId="29" fillId="3" borderId="1" xfId="0" applyFont="1" applyFill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29" fillId="0" borderId="1" xfId="0" applyFont="1" applyBorder="1" applyAlignment="1">
      <alignment horizontal="left" vertical="center" wrapText="1"/>
    </xf>
    <xf numFmtId="0" fontId="29" fillId="0" borderId="1" xfId="3" applyFont="1" applyBorder="1" applyAlignment="1">
      <alignment horizontal="left" vertical="center"/>
    </xf>
    <xf numFmtId="0" fontId="29" fillId="0" borderId="1" xfId="3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 wrapText="1"/>
    </xf>
    <xf numFmtId="49" fontId="29" fillId="0" borderId="1" xfId="0" applyNumberFormat="1" applyFont="1" applyBorder="1" applyAlignment="1">
      <alignment horizontal="left" vertical="center" wrapText="1"/>
    </xf>
    <xf numFmtId="0" fontId="29" fillId="3" borderId="1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30" fillId="0" borderId="5" xfId="0" applyFont="1" applyBorder="1" applyAlignment="1">
      <alignment horizontal="left" vertical="top" wrapText="1"/>
    </xf>
    <xf numFmtId="0" fontId="0" fillId="0" borderId="5" xfId="0" applyFont="1" applyBorder="1" applyAlignment="1">
      <alignment horizontal="left" vertical="top" wrapText="1"/>
    </xf>
    <xf numFmtId="0" fontId="12" fillId="0" borderId="5" xfId="1" applyFont="1" applyBorder="1" applyAlignment="1">
      <alignment horizontal="left" vertical="center" wrapText="1"/>
    </xf>
    <xf numFmtId="0" fontId="12" fillId="0" borderId="5" xfId="2" applyFont="1" applyBorder="1" applyAlignment="1">
      <alignment horizontal="left" vertical="center" wrapText="1"/>
    </xf>
    <xf numFmtId="0" fontId="30" fillId="0" borderId="1" xfId="0" applyFont="1" applyFill="1" applyBorder="1" applyAlignment="1">
      <alignment horizontal="left" vertical="top" wrapText="1"/>
    </xf>
    <xf numFmtId="0" fontId="0" fillId="0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/>
    </xf>
    <xf numFmtId="0" fontId="0" fillId="0" borderId="7" xfId="0" applyFont="1" applyBorder="1" applyAlignment="1">
      <alignment horizontal="center" vertical="center"/>
    </xf>
    <xf numFmtId="0" fontId="27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14" fontId="20" fillId="0" borderId="1" xfId="0" applyNumberFormat="1" applyFont="1" applyBorder="1" applyAlignment="1">
      <alignment vertical="center" wrapText="1"/>
    </xf>
    <xf numFmtId="0" fontId="20" fillId="0" borderId="1" xfId="0" applyFont="1" applyBorder="1" applyAlignment="1">
      <alignment vertical="center" wrapText="1"/>
    </xf>
    <xf numFmtId="0" fontId="0" fillId="0" borderId="0" xfId="0" applyFont="1" applyBorder="1"/>
    <xf numFmtId="0" fontId="0" fillId="0" borderId="0" xfId="0" applyFont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/>
    </xf>
    <xf numFmtId="0" fontId="16" fillId="0" borderId="0" xfId="0" applyFont="1" applyBorder="1" applyAlignment="1"/>
    <xf numFmtId="0" fontId="15" fillId="0" borderId="0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/>
    </xf>
    <xf numFmtId="0" fontId="18" fillId="0" borderId="0" xfId="0" applyFont="1" applyBorder="1" applyAlignment="1"/>
    <xf numFmtId="0" fontId="18" fillId="0" borderId="0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15" fillId="0" borderId="0" xfId="0" applyFont="1" applyBorder="1" applyAlignment="1"/>
    <xf numFmtId="0" fontId="21" fillId="0" borderId="0" xfId="0" applyFont="1"/>
    <xf numFmtId="0" fontId="21" fillId="0" borderId="1" xfId="0" applyFont="1" applyBorder="1"/>
    <xf numFmtId="0" fontId="30" fillId="0" borderId="1" xfId="0" applyFont="1" applyBorder="1" applyAlignment="1">
      <alignment horizontal="justify" vertical="top" wrapText="1"/>
    </xf>
    <xf numFmtId="0" fontId="27" fillId="0" borderId="2" xfId="0" applyFont="1" applyFill="1" applyBorder="1" applyAlignment="1">
      <alignment horizontal="center" vertical="center" wrapText="1"/>
    </xf>
    <xf numFmtId="0" fontId="27" fillId="0" borderId="1" xfId="0" applyFont="1" applyFill="1" applyBorder="1" applyAlignment="1">
      <alignment vertical="center" wrapText="1"/>
    </xf>
    <xf numFmtId="0" fontId="0" fillId="6" borderId="1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/>
    </xf>
    <xf numFmtId="0" fontId="26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6" borderId="0" xfId="0" applyFont="1" applyFill="1"/>
    <xf numFmtId="0" fontId="29" fillId="6" borderId="1" xfId="0" applyFont="1" applyFill="1" applyBorder="1" applyAlignment="1">
      <alignment horizontal="left" vertical="center"/>
    </xf>
    <xf numFmtId="0" fontId="29" fillId="6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left" vertical="center"/>
    </xf>
    <xf numFmtId="0" fontId="0" fillId="6" borderId="1" xfId="0" applyFont="1" applyFill="1" applyBorder="1" applyAlignment="1">
      <alignment horizontal="left" vertical="center" wrapText="1"/>
    </xf>
    <xf numFmtId="0" fontId="12" fillId="6" borderId="0" xfId="0" applyFont="1" applyFill="1" applyAlignment="1">
      <alignment horizontal="left"/>
    </xf>
    <xf numFmtId="0" fontId="36" fillId="0" borderId="4" xfId="0" applyFont="1" applyBorder="1"/>
    <xf numFmtId="0" fontId="36" fillId="0" borderId="0" xfId="0" applyFont="1"/>
    <xf numFmtId="0" fontId="36" fillId="0" borderId="0" xfId="0" applyFont="1" applyBorder="1"/>
    <xf numFmtId="0" fontId="15" fillId="6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top" wrapText="1"/>
    </xf>
    <xf numFmtId="49" fontId="15" fillId="0" borderId="1" xfId="0" applyNumberFormat="1" applyFont="1" applyBorder="1" applyAlignment="1">
      <alignment horizontal="center" vertical="top" wrapText="1"/>
    </xf>
    <xf numFmtId="0" fontId="15" fillId="3" borderId="1" xfId="0" applyFont="1" applyFill="1" applyBorder="1" applyAlignment="1">
      <alignment horizontal="center" vertical="top" wrapText="1"/>
    </xf>
    <xf numFmtId="0" fontId="15" fillId="0" borderId="1" xfId="3" applyFont="1" applyBorder="1" applyAlignment="1">
      <alignment horizontal="center" vertical="center"/>
    </xf>
    <xf numFmtId="0" fontId="15" fillId="0" borderId="1" xfId="3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29" fillId="6" borderId="1" xfId="3" applyFont="1" applyFill="1" applyBorder="1" applyAlignment="1">
      <alignment horizontal="left" vertical="center" wrapText="1"/>
    </xf>
    <xf numFmtId="0" fontId="15" fillId="6" borderId="1" xfId="3" applyFont="1" applyFill="1" applyBorder="1" applyAlignment="1">
      <alignment horizontal="center" vertical="center" wrapText="1"/>
    </xf>
    <xf numFmtId="0" fontId="12" fillId="6" borderId="0" xfId="0" applyFont="1" applyFill="1"/>
    <xf numFmtId="0" fontId="20" fillId="0" borderId="9" xfId="0" applyFont="1" applyBorder="1" applyAlignment="1">
      <alignment horizontal="center" vertical="center"/>
    </xf>
    <xf numFmtId="0" fontId="20" fillId="0" borderId="9" xfId="0" applyFont="1" applyFill="1" applyBorder="1" applyAlignment="1">
      <alignment horizontal="center" vertical="center"/>
    </xf>
    <xf numFmtId="0" fontId="0" fillId="0" borderId="9" xfId="0" applyBorder="1"/>
    <xf numFmtId="0" fontId="19" fillId="0" borderId="1" xfId="0" applyFont="1" applyBorder="1"/>
    <xf numFmtId="0" fontId="43" fillId="3" borderId="1" xfId="0" applyFont="1" applyFill="1" applyBorder="1"/>
    <xf numFmtId="0" fontId="0" fillId="0" borderId="9" xfId="0" applyBorder="1" applyAlignment="1">
      <alignment horizontal="center" vertical="center"/>
    </xf>
    <xf numFmtId="0" fontId="29" fillId="0" borderId="9" xfId="0" applyFont="1" applyFill="1" applyBorder="1" applyAlignment="1">
      <alignment horizontal="center" vertical="center"/>
    </xf>
    <xf numFmtId="0" fontId="29" fillId="6" borderId="9" xfId="0" applyFont="1" applyFill="1" applyBorder="1" applyAlignment="1">
      <alignment horizontal="center" vertical="center"/>
    </xf>
    <xf numFmtId="0" fontId="12" fillId="0" borderId="1" xfId="0" applyFont="1" applyBorder="1"/>
    <xf numFmtId="0" fontId="12" fillId="6" borderId="1" xfId="0" applyFont="1" applyFill="1" applyBorder="1"/>
    <xf numFmtId="0" fontId="12" fillId="6" borderId="1" xfId="0" applyFont="1" applyFill="1" applyBorder="1" applyAlignment="1">
      <alignment horizontal="left"/>
    </xf>
    <xf numFmtId="0" fontId="26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3" borderId="0" xfId="0" applyFont="1" applyFill="1"/>
    <xf numFmtId="0" fontId="0" fillId="0" borderId="1" xfId="0" applyFont="1" applyBorder="1" applyAlignment="1">
      <alignment horizontal="center"/>
    </xf>
    <xf numFmtId="0" fontId="0" fillId="6" borderId="0" xfId="0" applyFill="1"/>
    <xf numFmtId="0" fontId="18" fillId="6" borderId="0" xfId="0" applyFont="1" applyFill="1" applyBorder="1" applyAlignment="1">
      <alignment horizontal="center"/>
    </xf>
    <xf numFmtId="0" fontId="18" fillId="6" borderId="0" xfId="0" applyFont="1" applyFill="1" applyBorder="1" applyAlignment="1"/>
    <xf numFmtId="0" fontId="18" fillId="6" borderId="0" xfId="0" applyFont="1" applyFill="1" applyBorder="1" applyAlignment="1">
      <alignment horizontal="center" vertical="center"/>
    </xf>
    <xf numFmtId="0" fontId="33" fillId="2" borderId="12" xfId="0" applyFont="1" applyFill="1" applyBorder="1" applyAlignment="1">
      <alignment horizontal="center" vertical="center" wrapText="1"/>
    </xf>
    <xf numFmtId="0" fontId="29" fillId="3" borderId="9" xfId="0" applyFont="1" applyFill="1" applyBorder="1" applyAlignment="1">
      <alignment horizontal="center" vertical="center"/>
    </xf>
    <xf numFmtId="0" fontId="29" fillId="3" borderId="1" xfId="3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center" vertical="center"/>
    </xf>
    <xf numFmtId="0" fontId="15" fillId="3" borderId="1" xfId="3" applyFont="1" applyFill="1" applyBorder="1" applyAlignment="1">
      <alignment horizontal="center" vertical="center" wrapText="1"/>
    </xf>
    <xf numFmtId="0" fontId="12" fillId="3" borderId="0" xfId="0" applyFont="1" applyFill="1"/>
    <xf numFmtId="0" fontId="0" fillId="6" borderId="1" xfId="0" applyFont="1" applyFill="1" applyBorder="1" applyAlignment="1">
      <alignment horizontal="left" vertical="center"/>
    </xf>
    <xf numFmtId="0" fontId="12" fillId="9" borderId="1" xfId="0" applyFont="1" applyFill="1" applyBorder="1"/>
    <xf numFmtId="0" fontId="12" fillId="9" borderId="1" xfId="0" applyFont="1" applyFill="1" applyBorder="1" applyAlignment="1">
      <alignment horizontal="center" vertical="center" wrapText="1"/>
    </xf>
    <xf numFmtId="0" fontId="12" fillId="9" borderId="0" xfId="0" applyFont="1" applyFill="1"/>
    <xf numFmtId="0" fontId="45" fillId="0" borderId="0" xfId="0" applyFont="1" applyAlignment="1">
      <alignment horizontal="center" vertical="center"/>
    </xf>
    <xf numFmtId="0" fontId="45" fillId="0" borderId="0" xfId="0" applyFont="1"/>
    <xf numFmtId="0" fontId="20" fillId="0" borderId="0" xfId="0" applyFont="1" applyAlignment="1">
      <alignment horizontal="center" vertical="center"/>
    </xf>
    <xf numFmtId="0" fontId="20" fillId="3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vertical="top" wrapText="1"/>
    </xf>
    <xf numFmtId="0" fontId="12" fillId="10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/>
    </xf>
    <xf numFmtId="0" fontId="26" fillId="11" borderId="1" xfId="0" applyFont="1" applyFill="1" applyBorder="1" applyAlignment="1">
      <alignment horizontal="justify" vertical="top" wrapText="1"/>
    </xf>
    <xf numFmtId="0" fontId="26" fillId="11" borderId="1" xfId="0" applyFont="1" applyFill="1" applyBorder="1" applyAlignment="1">
      <alignment horizontal="center" vertical="center" wrapText="1"/>
    </xf>
    <xf numFmtId="0" fontId="20" fillId="11" borderId="1" xfId="0" applyFont="1" applyFill="1" applyBorder="1" applyAlignment="1">
      <alignment horizontal="center" vertical="center" wrapText="1"/>
    </xf>
    <xf numFmtId="0" fontId="25" fillId="11" borderId="1" xfId="0" applyFont="1" applyFill="1" applyBorder="1" applyAlignment="1">
      <alignment horizontal="justify" vertical="top" wrapText="1"/>
    </xf>
    <xf numFmtId="0" fontId="0" fillId="3" borderId="8" xfId="0" applyFont="1" applyFill="1" applyBorder="1" applyAlignment="1">
      <alignment horizontal="center" vertical="center"/>
    </xf>
    <xf numFmtId="0" fontId="0" fillId="11" borderId="8" xfId="0" applyFont="1" applyFill="1" applyBorder="1" applyAlignment="1">
      <alignment horizontal="center" vertical="center"/>
    </xf>
    <xf numFmtId="0" fontId="26" fillId="0" borderId="8" xfId="0" applyFont="1" applyBorder="1" applyAlignment="1">
      <alignment horizontal="center" vertical="center" wrapText="1"/>
    </xf>
    <xf numFmtId="0" fontId="26" fillId="11" borderId="8" xfId="0" applyFont="1" applyFill="1" applyBorder="1" applyAlignment="1">
      <alignment horizontal="center" vertical="center" wrapText="1"/>
    </xf>
    <xf numFmtId="0" fontId="26" fillId="3" borderId="8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justify" vertical="top" wrapText="1"/>
    </xf>
    <xf numFmtId="0" fontId="26" fillId="0" borderId="14" xfId="0" applyFont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left" vertical="top" wrapText="1"/>
    </xf>
    <xf numFmtId="0" fontId="0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0" borderId="0" xfId="0" applyFill="1"/>
    <xf numFmtId="0" fontId="1" fillId="6" borderId="1" xfId="0" applyFont="1" applyFill="1" applyBorder="1" applyAlignment="1">
      <alignment horizontal="center" vertical="center"/>
    </xf>
    <xf numFmtId="0" fontId="12" fillId="0" borderId="0" xfId="0" applyFont="1" applyFill="1"/>
    <xf numFmtId="0" fontId="27" fillId="3" borderId="1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0" fillId="0" borderId="2" xfId="0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top" wrapText="1"/>
    </xf>
    <xf numFmtId="0" fontId="12" fillId="3" borderId="0" xfId="0" applyFont="1" applyFill="1" applyAlignment="1">
      <alignment horizontal="left"/>
    </xf>
    <xf numFmtId="0" fontId="33" fillId="12" borderId="2" xfId="0" applyFont="1" applyFill="1" applyBorder="1" applyAlignment="1">
      <alignment vertical="center" wrapText="1"/>
    </xf>
    <xf numFmtId="0" fontId="33" fillId="12" borderId="6" xfId="0" applyFont="1" applyFill="1" applyBorder="1" applyAlignment="1">
      <alignment vertical="center" wrapText="1"/>
    </xf>
    <xf numFmtId="0" fontId="33" fillId="12" borderId="4" xfId="0" applyFont="1" applyFill="1" applyBorder="1" applyAlignment="1">
      <alignment vertical="center" wrapText="1"/>
    </xf>
    <xf numFmtId="0" fontId="33" fillId="12" borderId="0" xfId="0" applyFont="1" applyFill="1" applyBorder="1" applyAlignment="1">
      <alignment vertical="center" wrapText="1"/>
    </xf>
    <xf numFmtId="0" fontId="0" fillId="12" borderId="0" xfId="0" applyFill="1" applyBorder="1" applyAlignment="1">
      <alignment horizontal="center" vertical="center"/>
    </xf>
    <xf numFmtId="0" fontId="47" fillId="2" borderId="1" xfId="0" applyFont="1" applyFill="1" applyBorder="1" applyAlignment="1">
      <alignment horizontal="center" vertical="center" wrapText="1"/>
    </xf>
    <xf numFmtId="0" fontId="49" fillId="2" borderId="2" xfId="0" applyFont="1" applyFill="1" applyBorder="1" applyAlignment="1">
      <alignment horizontal="center" vertical="center" wrapText="1"/>
    </xf>
    <xf numFmtId="0" fontId="49" fillId="2" borderId="1" xfId="0" applyFont="1" applyFill="1" applyBorder="1" applyAlignment="1">
      <alignment horizontal="center" vertical="center" wrapText="1"/>
    </xf>
    <xf numFmtId="0" fontId="50" fillId="2" borderId="1" xfId="0" applyFont="1" applyFill="1" applyBorder="1" applyAlignment="1">
      <alignment horizontal="center" vertical="center" wrapText="1"/>
    </xf>
    <xf numFmtId="0" fontId="40" fillId="2" borderId="1" xfId="0" applyFont="1" applyFill="1" applyBorder="1" applyAlignment="1">
      <alignment horizontal="center" vertical="center" wrapText="1"/>
    </xf>
    <xf numFmtId="0" fontId="55" fillId="2" borderId="1" xfId="0" applyFont="1" applyFill="1" applyBorder="1" applyAlignment="1">
      <alignment horizontal="center" vertical="center" wrapText="1"/>
    </xf>
    <xf numFmtId="0" fontId="55" fillId="9" borderId="1" xfId="0" applyFont="1" applyFill="1" applyBorder="1" applyAlignment="1">
      <alignment horizontal="center" vertical="center" wrapText="1"/>
    </xf>
    <xf numFmtId="0" fontId="57" fillId="2" borderId="1" xfId="0" applyFont="1" applyFill="1" applyBorder="1" applyAlignment="1">
      <alignment horizontal="center" vertical="center" wrapText="1"/>
    </xf>
    <xf numFmtId="0" fontId="60" fillId="2" borderId="1" xfId="1" applyFont="1" applyFill="1" applyBorder="1" applyAlignment="1">
      <alignment horizontal="center" vertical="center" wrapText="1"/>
    </xf>
    <xf numFmtId="0" fontId="52" fillId="2" borderId="1" xfId="0" applyFont="1" applyFill="1" applyBorder="1" applyAlignment="1">
      <alignment horizontal="center" vertical="center"/>
    </xf>
    <xf numFmtId="0" fontId="52" fillId="2" borderId="2" xfId="0" applyFont="1" applyFill="1" applyBorder="1" applyAlignment="1">
      <alignment horizontal="center" vertical="center" wrapText="1"/>
    </xf>
    <xf numFmtId="0" fontId="64" fillId="2" borderId="6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/>
    </xf>
    <xf numFmtId="0" fontId="0" fillId="11" borderId="1" xfId="0" applyFill="1" applyBorder="1"/>
    <xf numFmtId="0" fontId="20" fillId="11" borderId="1" xfId="0" applyFont="1" applyFill="1" applyBorder="1" applyAlignment="1">
      <alignment horizontal="center" vertical="center"/>
    </xf>
    <xf numFmtId="0" fontId="0" fillId="11" borderId="2" xfId="0" applyFont="1" applyFill="1" applyBorder="1" applyAlignment="1">
      <alignment horizontal="center" vertical="center"/>
    </xf>
    <xf numFmtId="0" fontId="0" fillId="13" borderId="1" xfId="0" applyFont="1" applyFill="1" applyBorder="1" applyAlignment="1">
      <alignment horizontal="center" vertical="center"/>
    </xf>
    <xf numFmtId="0" fontId="40" fillId="9" borderId="1" xfId="0" applyFont="1" applyFill="1" applyBorder="1" applyAlignment="1">
      <alignment horizontal="center" vertical="center" wrapText="1"/>
    </xf>
    <xf numFmtId="0" fontId="55" fillId="9" borderId="3" xfId="0" applyFont="1" applyFill="1" applyBorder="1" applyAlignment="1">
      <alignment horizontal="center" vertical="center" wrapText="1"/>
    </xf>
    <xf numFmtId="0" fontId="12" fillId="14" borderId="1" xfId="0" applyFont="1" applyFill="1" applyBorder="1" applyAlignment="1">
      <alignment horizontal="center" vertical="center"/>
    </xf>
    <xf numFmtId="0" fontId="12" fillId="15" borderId="1" xfId="0" applyFont="1" applyFill="1" applyBorder="1" applyAlignment="1">
      <alignment horizontal="center" vertical="center"/>
    </xf>
    <xf numFmtId="0" fontId="0" fillId="15" borderId="0" xfId="0" applyFont="1" applyFill="1" applyAlignment="1">
      <alignment horizontal="center" vertical="center"/>
    </xf>
    <xf numFmtId="0" fontId="0" fillId="11" borderId="1" xfId="0" applyFont="1" applyFill="1" applyBorder="1" applyAlignment="1">
      <alignment horizontal="center" vertical="center" wrapText="1"/>
    </xf>
    <xf numFmtId="0" fontId="25" fillId="11" borderId="1" xfId="0" applyFont="1" applyFill="1" applyBorder="1" applyAlignment="1">
      <alignment horizontal="left" vertical="center" wrapText="1"/>
    </xf>
    <xf numFmtId="0" fontId="26" fillId="11" borderId="1" xfId="0" applyFont="1" applyFill="1" applyBorder="1" applyAlignment="1">
      <alignment horizontal="left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wrapText="1"/>
    </xf>
    <xf numFmtId="0" fontId="55" fillId="2" borderId="1" xfId="0" applyFont="1" applyFill="1" applyBorder="1" applyAlignment="1">
      <alignment horizontal="center" vertical="center" wrapText="1"/>
    </xf>
    <xf numFmtId="0" fontId="52" fillId="8" borderId="9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/>
    </xf>
    <xf numFmtId="0" fontId="20" fillId="6" borderId="1" xfId="0" applyFont="1" applyFill="1" applyBorder="1" applyAlignment="1">
      <alignment horizontal="left" vertical="center"/>
    </xf>
    <xf numFmtId="0" fontId="15" fillId="6" borderId="1" xfId="0" applyFont="1" applyFill="1" applyBorder="1" applyAlignment="1">
      <alignment horizontal="center"/>
    </xf>
    <xf numFmtId="0" fontId="20" fillId="0" borderId="1" xfId="0" applyFont="1" applyFill="1" applyBorder="1" applyAlignment="1">
      <alignment horizontal="left" vertical="center" wrapText="1"/>
    </xf>
    <xf numFmtId="0" fontId="0" fillId="15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left" vertical="top" wrapText="1"/>
    </xf>
    <xf numFmtId="0" fontId="16" fillId="0" borderId="1" xfId="0" applyFont="1" applyFill="1" applyBorder="1" applyAlignment="1">
      <alignment horizontal="left" vertical="center" wrapText="1"/>
    </xf>
    <xf numFmtId="0" fontId="15" fillId="0" borderId="1" xfId="0" applyFont="1" applyBorder="1"/>
    <xf numFmtId="0" fontId="15" fillId="0" borderId="1" xfId="0" applyFont="1" applyFill="1" applyBorder="1"/>
    <xf numFmtId="0" fontId="15" fillId="0" borderId="1" xfId="0" applyFont="1" applyFill="1" applyBorder="1" applyAlignment="1">
      <alignment horizontal="center" vertical="center"/>
    </xf>
    <xf numFmtId="0" fontId="15" fillId="15" borderId="1" xfId="0" applyFont="1" applyFill="1" applyBorder="1" applyAlignment="1">
      <alignment horizontal="center" vertical="center"/>
    </xf>
    <xf numFmtId="0" fontId="16" fillId="0" borderId="9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26" fillId="3" borderId="1" xfId="0" applyFont="1" applyFill="1" applyBorder="1" applyAlignment="1">
      <alignment horizontal="justify" vertical="top" wrapText="1"/>
    </xf>
    <xf numFmtId="0" fontId="0" fillId="11" borderId="0" xfId="0" applyFont="1" applyFill="1" applyAlignment="1">
      <alignment horizontal="center" vertical="center"/>
    </xf>
    <xf numFmtId="0" fontId="30" fillId="3" borderId="1" xfId="0" applyFont="1" applyFill="1" applyBorder="1" applyAlignment="1">
      <alignment horizontal="left" vertical="top" wrapText="1"/>
    </xf>
    <xf numFmtId="0" fontId="0" fillId="9" borderId="1" xfId="0" applyFont="1" applyFill="1" applyBorder="1" applyAlignment="1">
      <alignment horizontal="center" vertical="center"/>
    </xf>
    <xf numFmtId="1" fontId="0" fillId="6" borderId="1" xfId="0" applyNumberFormat="1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/>
    </xf>
    <xf numFmtId="0" fontId="12" fillId="0" borderId="8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6" borderId="8" xfId="0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2" fillId="0" borderId="1" xfId="0" applyFont="1" applyFill="1" applyBorder="1"/>
    <xf numFmtId="0" fontId="12" fillId="3" borderId="1" xfId="0" applyFont="1" applyFill="1" applyBorder="1" applyAlignment="1">
      <alignment horizontal="left"/>
    </xf>
    <xf numFmtId="0" fontId="12" fillId="16" borderId="1" xfId="0" applyFont="1" applyFill="1" applyBorder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3" borderId="0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0" xfId="0" applyFill="1"/>
    <xf numFmtId="0" fontId="30" fillId="6" borderId="5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wrapText="1"/>
    </xf>
    <xf numFmtId="0" fontId="0" fillId="6" borderId="1" xfId="0" applyFill="1" applyBorder="1" applyAlignment="1">
      <alignment vertical="center" wrapText="1"/>
    </xf>
    <xf numFmtId="0" fontId="0" fillId="6" borderId="1" xfId="0" applyFill="1" applyBorder="1"/>
    <xf numFmtId="0" fontId="0" fillId="6" borderId="7" xfId="0" applyFont="1" applyFill="1" applyBorder="1" applyAlignment="1">
      <alignment horizontal="center" vertical="center"/>
    </xf>
    <xf numFmtId="0" fontId="30" fillId="6" borderId="1" xfId="0" applyFont="1" applyFill="1" applyBorder="1" applyAlignment="1">
      <alignment horizontal="left" vertical="top" wrapText="1"/>
    </xf>
    <xf numFmtId="0" fontId="0" fillId="10" borderId="1" xfId="0" applyFont="1" applyFill="1" applyBorder="1" applyAlignment="1">
      <alignment horizontal="center" vertical="center"/>
    </xf>
    <xf numFmtId="0" fontId="50" fillId="2" borderId="8" xfId="0" applyFont="1" applyFill="1" applyBorder="1" applyAlignment="1">
      <alignment horizontal="center" vertical="center" wrapText="1"/>
    </xf>
    <xf numFmtId="0" fontId="20" fillId="9" borderId="1" xfId="0" applyFont="1" applyFill="1" applyBorder="1" applyAlignment="1">
      <alignment horizontal="center" vertical="center" wrapText="1"/>
    </xf>
    <xf numFmtId="0" fontId="55" fillId="9" borderId="6" xfId="0" applyFont="1" applyFill="1" applyBorder="1" applyAlignment="1">
      <alignment horizontal="center" vertical="center" wrapText="1"/>
    </xf>
    <xf numFmtId="0" fontId="65" fillId="9" borderId="3" xfId="0" applyFont="1" applyFill="1" applyBorder="1" applyAlignment="1">
      <alignment horizontal="center" vertical="center" wrapText="1"/>
    </xf>
    <xf numFmtId="0" fontId="0" fillId="4" borderId="8" xfId="0" applyFont="1" applyFill="1" applyBorder="1" applyAlignment="1">
      <alignment horizontal="center" vertical="center"/>
    </xf>
    <xf numFmtId="0" fontId="50" fillId="9" borderId="1" xfId="0" applyFont="1" applyFill="1" applyBorder="1" applyAlignment="1">
      <alignment horizontal="center" vertical="center" wrapText="1"/>
    </xf>
    <xf numFmtId="0" fontId="47" fillId="2" borderId="1" xfId="0" applyFont="1" applyFill="1" applyBorder="1" applyAlignment="1">
      <alignment horizontal="center" vertical="center" wrapText="1"/>
    </xf>
    <xf numFmtId="0" fontId="49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4" fillId="0" borderId="0" xfId="0" applyFont="1"/>
    <xf numFmtId="0" fontId="0" fillId="11" borderId="8" xfId="0" applyFont="1" applyFill="1" applyBorder="1" applyAlignment="1">
      <alignment wrapText="1"/>
    </xf>
    <xf numFmtId="0" fontId="0" fillId="11" borderId="9" xfId="0" applyFont="1" applyFill="1" applyBorder="1" applyAlignment="1">
      <alignment wrapText="1"/>
    </xf>
    <xf numFmtId="0" fontId="0" fillId="3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12" borderId="6" xfId="0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0" borderId="1" xfId="0" applyFill="1" applyBorder="1"/>
    <xf numFmtId="0" fontId="0" fillId="0" borderId="0" xfId="0" applyFont="1" applyBorder="1" applyAlignment="1">
      <alignment horizontal="center" vertical="center"/>
    </xf>
    <xf numFmtId="0" fontId="0" fillId="3" borderId="1" xfId="0" applyFill="1" applyBorder="1"/>
    <xf numFmtId="0" fontId="0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top" wrapText="1"/>
    </xf>
    <xf numFmtId="49" fontId="12" fillId="0" borderId="1" xfId="0" applyNumberFormat="1" applyFont="1" applyBorder="1" applyAlignment="1">
      <alignment horizontal="center" vertical="top" wrapText="1"/>
    </xf>
    <xf numFmtId="0" fontId="12" fillId="3" borderId="1" xfId="0" applyFont="1" applyFill="1" applyBorder="1" applyAlignment="1">
      <alignment horizontal="center" vertical="top" wrapText="1"/>
    </xf>
    <xf numFmtId="0" fontId="12" fillId="6" borderId="1" xfId="0" applyFont="1" applyFill="1" applyBorder="1" applyAlignment="1">
      <alignment horizontal="center" vertical="top" wrapText="1"/>
    </xf>
    <xf numFmtId="0" fontId="12" fillId="0" borderId="1" xfId="3" applyFont="1" applyBorder="1" applyAlignment="1">
      <alignment horizontal="center" vertical="center"/>
    </xf>
    <xf numFmtId="0" fontId="12" fillId="0" borderId="1" xfId="3" applyFont="1" applyBorder="1" applyAlignment="1">
      <alignment horizontal="center" vertical="center" wrapText="1"/>
    </xf>
    <xf numFmtId="0" fontId="12" fillId="3" borderId="1" xfId="3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/>
    </xf>
    <xf numFmtId="0" fontId="0" fillId="0" borderId="1" xfId="0" applyFont="1" applyBorder="1" applyAlignment="1">
      <alignment wrapText="1"/>
    </xf>
    <xf numFmtId="0" fontId="0" fillId="0" borderId="1" xfId="0" applyFont="1" applyFill="1" applyBorder="1"/>
    <xf numFmtId="0" fontId="0" fillId="0" borderId="2" xfId="0" applyFont="1" applyBorder="1"/>
    <xf numFmtId="0" fontId="15" fillId="0" borderId="2" xfId="0" applyFont="1" applyBorder="1" applyAlignment="1">
      <alignment horizontal="center"/>
    </xf>
    <xf numFmtId="0" fontId="0" fillId="0" borderId="14" xfId="0" applyFont="1" applyBorder="1" applyAlignment="1">
      <alignment horizontal="center" vertical="center"/>
    </xf>
    <xf numFmtId="0" fontId="0" fillId="0" borderId="3" xfId="0" applyFont="1" applyBorder="1"/>
    <xf numFmtId="0" fontId="0" fillId="0" borderId="1" xfId="0" applyFill="1" applyBorder="1" applyAlignment="1">
      <alignment horizontal="center"/>
    </xf>
    <xf numFmtId="0" fontId="25" fillId="3" borderId="1" xfId="0" applyFont="1" applyFill="1" applyBorder="1" applyAlignment="1">
      <alignment horizontal="justify" vertical="center" wrapText="1"/>
    </xf>
    <xf numFmtId="0" fontId="0" fillId="3" borderId="8" xfId="0" applyFont="1" applyFill="1" applyBorder="1" applyAlignment="1">
      <alignment horizontal="center"/>
    </xf>
    <xf numFmtId="0" fontId="0" fillId="3" borderId="9" xfId="0" applyFont="1" applyFill="1" applyBorder="1" applyAlignment="1">
      <alignment horizontal="center"/>
    </xf>
    <xf numFmtId="0" fontId="47" fillId="2" borderId="2" xfId="0" applyFont="1" applyFill="1" applyBorder="1" applyAlignment="1">
      <alignment horizontal="center" vertical="center" wrapText="1"/>
    </xf>
    <xf numFmtId="0" fontId="52" fillId="4" borderId="2" xfId="0" applyFont="1" applyFill="1" applyBorder="1" applyAlignment="1">
      <alignment horizontal="center" vertical="center"/>
    </xf>
    <xf numFmtId="0" fontId="52" fillId="4" borderId="3" xfId="0" applyFont="1" applyFill="1" applyBorder="1" applyAlignment="1">
      <alignment horizontal="center" vertical="center"/>
    </xf>
    <xf numFmtId="0" fontId="34" fillId="5" borderId="0" xfId="0" applyFont="1" applyFill="1" applyBorder="1" applyAlignment="1">
      <alignment horizontal="center" vertical="center"/>
    </xf>
    <xf numFmtId="0" fontId="34" fillId="5" borderId="4" xfId="0" applyFont="1" applyFill="1" applyBorder="1" applyAlignment="1">
      <alignment horizontal="center" vertical="center"/>
    </xf>
    <xf numFmtId="0" fontId="59" fillId="4" borderId="1" xfId="0" applyFont="1" applyFill="1" applyBorder="1" applyAlignment="1">
      <alignment horizontal="center" wrapText="1"/>
    </xf>
    <xf numFmtId="0" fontId="20" fillId="0" borderId="15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52" fillId="2" borderId="15" xfId="0" applyFont="1" applyFill="1" applyBorder="1" applyAlignment="1">
      <alignment horizontal="center" vertical="center" wrapText="1"/>
    </xf>
    <xf numFmtId="0" fontId="52" fillId="2" borderId="13" xfId="0" applyFont="1" applyFill="1" applyBorder="1" applyAlignment="1">
      <alignment horizontal="center" vertical="center" wrapText="1"/>
    </xf>
    <xf numFmtId="0" fontId="52" fillId="2" borderId="2" xfId="0" applyFont="1" applyFill="1" applyBorder="1" applyAlignment="1">
      <alignment horizontal="center" vertical="center" wrapText="1"/>
    </xf>
    <xf numFmtId="0" fontId="52" fillId="2" borderId="3" xfId="0" applyFont="1" applyFill="1" applyBorder="1" applyAlignment="1">
      <alignment horizontal="center" vertical="center" wrapText="1"/>
    </xf>
    <xf numFmtId="0" fontId="52" fillId="2" borderId="2" xfId="0" applyFont="1" applyFill="1" applyBorder="1" applyAlignment="1">
      <alignment horizontal="center" vertical="center"/>
    </xf>
    <xf numFmtId="0" fontId="52" fillId="2" borderId="3" xfId="0" applyFont="1" applyFill="1" applyBorder="1" applyAlignment="1">
      <alignment horizontal="center" vertical="center"/>
    </xf>
    <xf numFmtId="0" fontId="54" fillId="6" borderId="2" xfId="1" applyFont="1" applyFill="1" applyBorder="1" applyAlignment="1">
      <alignment horizontal="center" vertical="center" wrapText="1"/>
    </xf>
    <xf numFmtId="0" fontId="54" fillId="6" borderId="3" xfId="1" applyFont="1" applyFill="1" applyBorder="1" applyAlignment="1">
      <alignment horizontal="center" vertical="center" wrapText="1"/>
    </xf>
    <xf numFmtId="0" fontId="54" fillId="4" borderId="2" xfId="1" applyFont="1" applyFill="1" applyBorder="1" applyAlignment="1">
      <alignment horizontal="center" vertical="center" wrapText="1"/>
    </xf>
    <xf numFmtId="0" fontId="54" fillId="4" borderId="3" xfId="1" applyFont="1" applyFill="1" applyBorder="1" applyAlignment="1">
      <alignment horizontal="center" vertical="center" wrapText="1"/>
    </xf>
    <xf numFmtId="0" fontId="55" fillId="2" borderId="2" xfId="0" applyFont="1" applyFill="1" applyBorder="1" applyAlignment="1">
      <alignment horizontal="center" vertical="center" wrapText="1"/>
    </xf>
    <xf numFmtId="0" fontId="55" fillId="2" borderId="3" xfId="0" applyFont="1" applyFill="1" applyBorder="1" applyAlignment="1">
      <alignment horizontal="center" vertical="center" wrapText="1"/>
    </xf>
    <xf numFmtId="0" fontId="55" fillId="2" borderId="2" xfId="0" applyFont="1" applyFill="1" applyBorder="1" applyAlignment="1">
      <alignment horizontal="center" vertical="center"/>
    </xf>
    <xf numFmtId="0" fontId="55" fillId="2" borderId="3" xfId="0" applyFont="1" applyFill="1" applyBorder="1" applyAlignment="1">
      <alignment horizontal="center" vertical="center"/>
    </xf>
    <xf numFmtId="0" fontId="33" fillId="4" borderId="14" xfId="0" applyFont="1" applyFill="1" applyBorder="1" applyAlignment="1">
      <alignment horizontal="center" vertical="center"/>
    </xf>
    <xf numFmtId="0" fontId="33" fillId="4" borderId="15" xfId="0" applyFont="1" applyFill="1" applyBorder="1" applyAlignment="1">
      <alignment horizontal="center" vertical="center"/>
    </xf>
    <xf numFmtId="0" fontId="33" fillId="4" borderId="10" xfId="0" applyFont="1" applyFill="1" applyBorder="1" applyAlignment="1">
      <alignment horizontal="center" vertical="center"/>
    </xf>
    <xf numFmtId="0" fontId="33" fillId="4" borderId="13" xfId="0" applyFont="1" applyFill="1" applyBorder="1" applyAlignment="1">
      <alignment horizontal="center" vertical="center"/>
    </xf>
    <xf numFmtId="0" fontId="38" fillId="2" borderId="2" xfId="0" applyFont="1" applyFill="1" applyBorder="1" applyAlignment="1">
      <alignment horizontal="center" vertical="center" wrapText="1"/>
    </xf>
    <xf numFmtId="0" fontId="38" fillId="2" borderId="3" xfId="0" applyFont="1" applyFill="1" applyBorder="1" applyAlignment="1">
      <alignment horizontal="center" vertical="center" wrapText="1"/>
    </xf>
    <xf numFmtId="0" fontId="62" fillId="2" borderId="2" xfId="0" applyFont="1" applyFill="1" applyBorder="1" applyAlignment="1">
      <alignment horizontal="center" vertical="center" wrapText="1"/>
    </xf>
    <xf numFmtId="0" fontId="62" fillId="2" borderId="3" xfId="0" applyFont="1" applyFill="1" applyBorder="1" applyAlignment="1">
      <alignment horizontal="center" vertical="center" wrapText="1"/>
    </xf>
    <xf numFmtId="0" fontId="63" fillId="2" borderId="2" xfId="0" applyFont="1" applyFill="1" applyBorder="1" applyAlignment="1">
      <alignment horizontal="center" vertical="center"/>
    </xf>
    <xf numFmtId="0" fontId="63" fillId="2" borderId="3" xfId="0" applyFont="1" applyFill="1" applyBorder="1" applyAlignment="1">
      <alignment horizontal="center" vertical="center"/>
    </xf>
    <xf numFmtId="0" fontId="64" fillId="2" borderId="2" xfId="0" applyFont="1" applyFill="1" applyBorder="1" applyAlignment="1">
      <alignment horizontal="center" vertical="center"/>
    </xf>
    <xf numFmtId="0" fontId="64" fillId="2" borderId="3" xfId="0" applyFont="1" applyFill="1" applyBorder="1" applyAlignment="1">
      <alignment horizontal="center" vertical="center"/>
    </xf>
    <xf numFmtId="0" fontId="38" fillId="2" borderId="1" xfId="0" applyFont="1" applyFill="1" applyBorder="1" applyAlignment="1">
      <alignment horizontal="center" vertical="center" wrapText="1"/>
    </xf>
    <xf numFmtId="0" fontId="55" fillId="6" borderId="2" xfId="0" applyFont="1" applyFill="1" applyBorder="1" applyAlignment="1">
      <alignment horizontal="center" vertical="center" wrapText="1"/>
    </xf>
    <xf numFmtId="0" fontId="55" fillId="6" borderId="3" xfId="0" applyFont="1" applyFill="1" applyBorder="1" applyAlignment="1">
      <alignment horizontal="center" vertical="center" wrapText="1"/>
    </xf>
    <xf numFmtId="0" fontId="52" fillId="8" borderId="14" xfId="0" applyFont="1" applyFill="1" applyBorder="1" applyAlignment="1">
      <alignment horizontal="center" vertical="center" wrapText="1"/>
    </xf>
    <xf numFmtId="0" fontId="52" fillId="8" borderId="16" xfId="0" applyFont="1" applyFill="1" applyBorder="1" applyAlignment="1">
      <alignment horizontal="center" vertical="center" wrapText="1"/>
    </xf>
    <xf numFmtId="0" fontId="52" fillId="8" borderId="15" xfId="0" applyFont="1" applyFill="1" applyBorder="1" applyAlignment="1">
      <alignment horizontal="center" vertical="center" wrapText="1"/>
    </xf>
    <xf numFmtId="0" fontId="0" fillId="3" borderId="8" xfId="0" applyFont="1" applyFill="1" applyBorder="1" applyAlignment="1">
      <alignment horizontal="center"/>
    </xf>
    <xf numFmtId="0" fontId="0" fillId="3" borderId="9" xfId="0" applyFont="1" applyFill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11" borderId="8" xfId="0" applyFont="1" applyFill="1" applyBorder="1" applyAlignment="1">
      <alignment horizontal="center"/>
    </xf>
    <xf numFmtId="0" fontId="0" fillId="11" borderId="9" xfId="0" applyFont="1" applyFill="1" applyBorder="1" applyAlignment="1">
      <alignment horizontal="center"/>
    </xf>
    <xf numFmtId="0" fontId="35" fillId="5" borderId="8" xfId="0" applyFont="1" applyFill="1" applyBorder="1" applyAlignment="1">
      <alignment horizontal="center" vertical="center"/>
    </xf>
    <xf numFmtId="0" fontId="35" fillId="5" borderId="12" xfId="0" applyFont="1" applyFill="1" applyBorder="1" applyAlignment="1">
      <alignment horizontal="center" vertical="center"/>
    </xf>
    <xf numFmtId="0" fontId="35" fillId="5" borderId="9" xfId="0" applyFont="1" applyFill="1" applyBorder="1" applyAlignment="1">
      <alignment horizontal="center" vertical="center"/>
    </xf>
    <xf numFmtId="0" fontId="61" fillId="4" borderId="1" xfId="0" applyFont="1" applyFill="1" applyBorder="1" applyAlignment="1">
      <alignment horizontal="center" vertical="center" wrapText="1"/>
    </xf>
    <xf numFmtId="0" fontId="68" fillId="0" borderId="1" xfId="0" applyFont="1" applyBorder="1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47" fillId="2" borderId="1" xfId="0" applyFont="1" applyFill="1" applyBorder="1" applyAlignment="1">
      <alignment horizontal="center" vertical="center" wrapText="1"/>
    </xf>
    <xf numFmtId="0" fontId="67" fillId="17" borderId="11" xfId="0" applyFont="1" applyFill="1" applyBorder="1" applyAlignment="1">
      <alignment horizontal="center" vertical="center" wrapText="1"/>
    </xf>
    <xf numFmtId="0" fontId="48" fillId="4" borderId="1" xfId="0" applyFont="1" applyFill="1" applyBorder="1" applyAlignment="1">
      <alignment horizontal="center" vertical="center" wrapText="1"/>
    </xf>
    <xf numFmtId="0" fontId="49" fillId="2" borderId="1" xfId="0" applyFont="1" applyFill="1" applyBorder="1" applyAlignment="1">
      <alignment horizontal="center" vertical="center" wrapText="1"/>
    </xf>
    <xf numFmtId="0" fontId="44" fillId="2" borderId="1" xfId="1" applyFont="1" applyFill="1" applyBorder="1" applyAlignment="1">
      <alignment horizontal="center" vertical="center" wrapText="1"/>
    </xf>
    <xf numFmtId="0" fontId="46" fillId="2" borderId="1" xfId="0" applyFont="1" applyFill="1" applyBorder="1" applyAlignment="1">
      <alignment horizontal="center" vertical="center" wrapText="1"/>
    </xf>
    <xf numFmtId="0" fontId="47" fillId="2" borderId="2" xfId="0" applyFont="1" applyFill="1" applyBorder="1" applyAlignment="1">
      <alignment horizontal="center" vertical="center" wrapText="1"/>
    </xf>
    <xf numFmtId="0" fontId="47" fillId="2" borderId="3" xfId="0" applyFont="1" applyFill="1" applyBorder="1" applyAlignment="1">
      <alignment horizontal="center" vertical="center" wrapText="1"/>
    </xf>
    <xf numFmtId="0" fontId="66" fillId="17" borderId="11" xfId="0" applyFont="1" applyFill="1" applyBorder="1" applyAlignment="1">
      <alignment horizontal="center" vertical="center"/>
    </xf>
    <xf numFmtId="0" fontId="68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66" fillId="17" borderId="1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66" fillId="18" borderId="11" xfId="0" applyFont="1" applyFill="1" applyBorder="1" applyAlignment="1">
      <alignment horizontal="center" vertical="center" wrapText="1"/>
    </xf>
    <xf numFmtId="0" fontId="40" fillId="2" borderId="2" xfId="0" applyFont="1" applyFill="1" applyBorder="1" applyAlignment="1">
      <alignment horizontal="center" vertical="center" wrapText="1"/>
    </xf>
    <xf numFmtId="0" fontId="40" fillId="2" borderId="3" xfId="0" applyFont="1" applyFill="1" applyBorder="1" applyAlignment="1">
      <alignment horizontal="center" vertical="center" wrapText="1"/>
    </xf>
    <xf numFmtId="0" fontId="50" fillId="4" borderId="4" xfId="0" applyFont="1" applyFill="1" applyBorder="1" applyAlignment="1">
      <alignment horizontal="center" vertical="center" wrapText="1"/>
    </xf>
    <xf numFmtId="0" fontId="50" fillId="2" borderId="8" xfId="0" applyFont="1" applyFill="1" applyBorder="1" applyAlignment="1">
      <alignment horizontal="center" vertical="center" wrapText="1"/>
    </xf>
    <xf numFmtId="0" fontId="50" fillId="2" borderId="12" xfId="0" applyFont="1" applyFill="1" applyBorder="1" applyAlignment="1">
      <alignment horizontal="center" vertical="center" wrapText="1"/>
    </xf>
    <xf numFmtId="0" fontId="50" fillId="2" borderId="9" xfId="0" applyFont="1" applyFill="1" applyBorder="1" applyAlignment="1">
      <alignment horizontal="center" vertical="center" wrapText="1"/>
    </xf>
    <xf numFmtId="0" fontId="40" fillId="2" borderId="1" xfId="0" applyFont="1" applyFill="1" applyBorder="1" applyAlignment="1">
      <alignment horizontal="center" vertical="center"/>
    </xf>
    <xf numFmtId="0" fontId="40" fillId="4" borderId="2" xfId="0" applyFont="1" applyFill="1" applyBorder="1" applyAlignment="1">
      <alignment horizontal="center" vertical="center" wrapText="1"/>
    </xf>
    <xf numFmtId="0" fontId="40" fillId="4" borderId="3" xfId="0" applyFont="1" applyFill="1" applyBorder="1" applyAlignment="1">
      <alignment horizontal="center" vertical="center" wrapText="1"/>
    </xf>
    <xf numFmtId="0" fontId="50" fillId="2" borderId="2" xfId="0" applyFont="1" applyFill="1" applyBorder="1" applyAlignment="1">
      <alignment horizontal="center" vertical="center" wrapText="1"/>
    </xf>
    <xf numFmtId="0" fontId="50" fillId="2" borderId="3" xfId="0" applyFont="1" applyFill="1" applyBorder="1" applyAlignment="1">
      <alignment horizontal="center" vertical="center" wrapText="1"/>
    </xf>
    <xf numFmtId="0" fontId="51" fillId="2" borderId="2" xfId="0" applyFont="1" applyFill="1" applyBorder="1" applyAlignment="1">
      <alignment horizontal="center" vertical="center" wrapText="1"/>
    </xf>
    <xf numFmtId="0" fontId="51" fillId="2" borderId="3" xfId="0" applyFont="1" applyFill="1" applyBorder="1" applyAlignment="1">
      <alignment horizontal="center" vertical="center" wrapText="1"/>
    </xf>
    <xf numFmtId="0" fontId="51" fillId="2" borderId="2" xfId="0" applyFont="1" applyFill="1" applyBorder="1" applyAlignment="1">
      <alignment horizontal="center" vertical="center"/>
    </xf>
    <xf numFmtId="0" fontId="51" fillId="2" borderId="3" xfId="0" applyFont="1" applyFill="1" applyBorder="1" applyAlignment="1">
      <alignment horizontal="center" vertical="center"/>
    </xf>
    <xf numFmtId="0" fontId="50" fillId="2" borderId="2" xfId="0" applyFont="1" applyFill="1" applyBorder="1" applyAlignment="1">
      <alignment horizontal="center" vertical="center"/>
    </xf>
    <xf numFmtId="0" fontId="50" fillId="2" borderId="3" xfId="0" applyFont="1" applyFill="1" applyBorder="1" applyAlignment="1">
      <alignment horizontal="center" vertical="center"/>
    </xf>
    <xf numFmtId="0" fontId="39" fillId="6" borderId="15" xfId="0" applyFont="1" applyFill="1" applyBorder="1" applyAlignment="1">
      <alignment horizontal="center" vertical="center" wrapText="1"/>
    </xf>
    <xf numFmtId="0" fontId="39" fillId="6" borderId="4" xfId="0" applyFont="1" applyFill="1" applyBorder="1" applyAlignment="1">
      <alignment horizontal="center" vertical="center" wrapText="1"/>
    </xf>
    <xf numFmtId="0" fontId="39" fillId="6" borderId="13" xfId="0" applyFont="1" applyFill="1" applyBorder="1" applyAlignment="1">
      <alignment horizontal="center" vertical="center" wrapText="1"/>
    </xf>
    <xf numFmtId="0" fontId="40" fillId="9" borderId="8" xfId="0" applyFont="1" applyFill="1" applyBorder="1" applyAlignment="1">
      <alignment horizontal="center" vertical="center" wrapText="1"/>
    </xf>
    <xf numFmtId="0" fontId="40" fillId="9" borderId="12" xfId="0" applyFont="1" applyFill="1" applyBorder="1" applyAlignment="1">
      <alignment horizontal="center" vertical="center" wrapText="1"/>
    </xf>
    <xf numFmtId="0" fontId="40" fillId="9" borderId="9" xfId="0" applyFont="1" applyFill="1" applyBorder="1" applyAlignment="1">
      <alignment horizontal="center" vertical="center" wrapText="1"/>
    </xf>
    <xf numFmtId="0" fontId="35" fillId="5" borderId="0" xfId="0" applyFont="1" applyFill="1" applyBorder="1" applyAlignment="1">
      <alignment horizontal="center" vertical="center" wrapText="1"/>
    </xf>
    <xf numFmtId="0" fontId="35" fillId="5" borderId="4" xfId="0" applyFont="1" applyFill="1" applyBorder="1" applyAlignment="1">
      <alignment horizontal="center" vertical="center" wrapText="1"/>
    </xf>
    <xf numFmtId="0" fontId="52" fillId="2" borderId="1" xfId="0" applyFont="1" applyFill="1" applyBorder="1" applyAlignment="1">
      <alignment horizontal="center" vertical="center" wrapText="1"/>
    </xf>
    <xf numFmtId="0" fontId="55" fillId="2" borderId="1" xfId="0" applyFont="1" applyFill="1" applyBorder="1" applyAlignment="1">
      <alignment horizontal="center" vertical="center" wrapText="1"/>
    </xf>
    <xf numFmtId="0" fontId="54" fillId="7" borderId="2" xfId="1" applyFont="1" applyFill="1" applyBorder="1" applyAlignment="1">
      <alignment horizontal="center" vertical="center" wrapText="1"/>
    </xf>
    <xf numFmtId="0" fontId="54" fillId="7" borderId="3" xfId="1" applyFont="1" applyFill="1" applyBorder="1" applyAlignment="1">
      <alignment horizontal="center" vertical="center" wrapText="1"/>
    </xf>
    <xf numFmtId="0" fontId="52" fillId="8" borderId="8" xfId="0" applyFont="1" applyFill="1" applyBorder="1" applyAlignment="1">
      <alignment horizontal="center" vertical="center" wrapText="1"/>
    </xf>
    <xf numFmtId="0" fontId="52" fillId="8" borderId="12" xfId="0" applyFont="1" applyFill="1" applyBorder="1" applyAlignment="1">
      <alignment horizontal="center" vertical="center" wrapText="1"/>
    </xf>
    <xf numFmtId="0" fontId="52" fillId="8" borderId="9" xfId="0" applyFont="1" applyFill="1" applyBorder="1" applyAlignment="1">
      <alignment horizontal="center" vertical="center" wrapText="1"/>
    </xf>
    <xf numFmtId="0" fontId="66" fillId="9" borderId="1" xfId="0" applyFont="1" applyFill="1" applyBorder="1" applyAlignment="1">
      <alignment horizontal="center" vertical="center"/>
    </xf>
    <xf numFmtId="0" fontId="52" fillId="2" borderId="8" xfId="0" applyFont="1" applyFill="1" applyBorder="1" applyAlignment="1">
      <alignment horizontal="center" vertical="center" wrapText="1"/>
    </xf>
    <xf numFmtId="0" fontId="52" fillId="2" borderId="12" xfId="0" applyFont="1" applyFill="1" applyBorder="1" applyAlignment="1">
      <alignment horizontal="center" vertical="center" wrapText="1"/>
    </xf>
    <xf numFmtId="0" fontId="27" fillId="6" borderId="2" xfId="0" applyFont="1" applyFill="1" applyBorder="1" applyAlignment="1">
      <alignment horizontal="center" vertical="center" wrapText="1"/>
    </xf>
    <xf numFmtId="0" fontId="27" fillId="6" borderId="6" xfId="0" applyFont="1" applyFill="1" applyBorder="1" applyAlignment="1">
      <alignment horizontal="center" vertical="center" wrapText="1"/>
    </xf>
    <xf numFmtId="0" fontId="27" fillId="6" borderId="3" xfId="0" applyFont="1" applyFill="1" applyBorder="1" applyAlignment="1">
      <alignment horizontal="center" vertical="center" wrapText="1"/>
    </xf>
    <xf numFmtId="0" fontId="52" fillId="2" borderId="14" xfId="0" applyFont="1" applyFill="1" applyBorder="1" applyAlignment="1">
      <alignment horizontal="center" vertical="center" wrapText="1"/>
    </xf>
    <xf numFmtId="0" fontId="52" fillId="2" borderId="10" xfId="0" applyFont="1" applyFill="1" applyBorder="1" applyAlignment="1">
      <alignment horizontal="center" vertical="center" wrapText="1"/>
    </xf>
    <xf numFmtId="0" fontId="36" fillId="4" borderId="1" xfId="0" applyFont="1" applyFill="1" applyBorder="1" applyAlignment="1">
      <alignment horizontal="center" wrapText="1"/>
    </xf>
    <xf numFmtId="0" fontId="54" fillId="15" borderId="1" xfId="1" applyFont="1" applyFill="1" applyBorder="1" applyAlignment="1">
      <alignment horizontal="center" vertical="center" wrapText="1"/>
    </xf>
    <xf numFmtId="0" fontId="56" fillId="2" borderId="1" xfId="0" applyFont="1" applyFill="1" applyBorder="1" applyAlignment="1">
      <alignment horizontal="center" vertical="center" wrapText="1"/>
    </xf>
    <xf numFmtId="0" fontId="52" fillId="10" borderId="1" xfId="0" applyFont="1" applyFill="1" applyBorder="1" applyAlignment="1">
      <alignment horizontal="center" vertical="center" wrapText="1"/>
    </xf>
    <xf numFmtId="0" fontId="52" fillId="2" borderId="9" xfId="0" applyFont="1" applyFill="1" applyBorder="1" applyAlignment="1">
      <alignment horizontal="center" vertical="center" wrapText="1"/>
    </xf>
    <xf numFmtId="0" fontId="53" fillId="2" borderId="1" xfId="0" applyFont="1" applyFill="1" applyBorder="1" applyAlignment="1">
      <alignment horizontal="center" vertical="center" wrapText="1"/>
    </xf>
    <xf numFmtId="0" fontId="57" fillId="2" borderId="2" xfId="0" applyFont="1" applyFill="1" applyBorder="1" applyAlignment="1">
      <alignment horizontal="center" vertical="center" wrapText="1"/>
    </xf>
    <xf numFmtId="0" fontId="57" fillId="2" borderId="3" xfId="0" applyFont="1" applyFill="1" applyBorder="1" applyAlignment="1">
      <alignment horizontal="center" vertical="center" wrapText="1"/>
    </xf>
    <xf numFmtId="0" fontId="34" fillId="5" borderId="11" xfId="0" applyFont="1" applyFill="1" applyBorder="1" applyAlignment="1">
      <alignment horizontal="center" vertical="center"/>
    </xf>
    <xf numFmtId="0" fontId="34" fillId="5" borderId="13" xfId="0" applyFont="1" applyFill="1" applyBorder="1" applyAlignment="1">
      <alignment horizontal="center" vertical="center"/>
    </xf>
    <xf numFmtId="0" fontId="57" fillId="2" borderId="1" xfId="0" applyFont="1" applyFill="1" applyBorder="1" applyAlignment="1">
      <alignment horizontal="center" vertical="center" wrapText="1"/>
    </xf>
    <xf numFmtId="0" fontId="57" fillId="2" borderId="9" xfId="0" applyFont="1" applyFill="1" applyBorder="1" applyAlignment="1">
      <alignment horizontal="center" vertical="center" wrapText="1"/>
    </xf>
    <xf numFmtId="0" fontId="37" fillId="6" borderId="2" xfId="0" applyFont="1" applyFill="1" applyBorder="1" applyAlignment="1">
      <alignment horizontal="center" vertical="center" wrapText="1"/>
    </xf>
    <xf numFmtId="0" fontId="37" fillId="6" borderId="6" xfId="0" applyFont="1" applyFill="1" applyBorder="1" applyAlignment="1">
      <alignment horizontal="center" vertical="center" wrapText="1"/>
    </xf>
    <xf numFmtId="0" fontId="37" fillId="6" borderId="3" xfId="0" applyFont="1" applyFill="1" applyBorder="1" applyAlignment="1">
      <alignment horizontal="center" vertical="center" wrapText="1"/>
    </xf>
    <xf numFmtId="0" fontId="58" fillId="2" borderId="1" xfId="1" applyFont="1" applyFill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0" fillId="3" borderId="6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9" fillId="6" borderId="0" xfId="0" applyFont="1" applyFill="1"/>
    <xf numFmtId="0" fontId="0" fillId="6" borderId="1" xfId="0" applyFont="1" applyFill="1" applyBorder="1" applyAlignment="1">
      <alignment horizontal="center" wrapText="1"/>
    </xf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6" borderId="2" xfId="0" applyFill="1" applyBorder="1" applyAlignment="1">
      <alignment horizontal="center"/>
    </xf>
    <xf numFmtId="0" fontId="48" fillId="4" borderId="2" xfId="0" applyFont="1" applyFill="1" applyBorder="1" applyAlignment="1">
      <alignment horizontal="center" vertical="center" wrapText="1"/>
    </xf>
    <xf numFmtId="0" fontId="49" fillId="2" borderId="2" xfId="0" applyFont="1" applyFill="1" applyBorder="1" applyAlignment="1">
      <alignment horizontal="center" vertical="center" wrapText="1"/>
    </xf>
    <xf numFmtId="0" fontId="44" fillId="2" borderId="2" xfId="1" applyFont="1" applyFill="1" applyBorder="1" applyAlignment="1">
      <alignment horizontal="center" vertical="center" wrapText="1"/>
    </xf>
    <xf numFmtId="0" fontId="46" fillId="2" borderId="2" xfId="0" applyFont="1" applyFill="1" applyBorder="1" applyAlignment="1">
      <alignment horizontal="center" vertical="center" wrapText="1"/>
    </xf>
    <xf numFmtId="0" fontId="47" fillId="2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2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6" xfId="0" applyFont="1" applyFill="1" applyBorder="1"/>
    <xf numFmtId="0" fontId="0" fillId="6" borderId="0" xfId="0" applyFont="1" applyFill="1" applyAlignment="1">
      <alignment horizontal="center"/>
    </xf>
  </cellXfs>
  <cellStyles count="4">
    <cellStyle name="Normal" xfId="0" builtinId="0"/>
    <cellStyle name="Normal 14" xfId="1" xr:uid="{00000000-0005-0000-0000-000001000000}"/>
    <cellStyle name="표준_단품공정도 LIST_ZA310-0001(포장목록-56량-실내외 설비품)_BAL-SHEET-CONSOL" xfId="2" xr:uid="{00000000-0005-0000-0000-000002000000}"/>
    <cellStyle name="標準 9" xfId="3" xr:uid="{00000000-0005-0000-0000-000003000000}"/>
  </cellStyles>
  <dxfs count="0"/>
  <tableStyles count="0" defaultTableStyle="TableStyleMedium2" defaultPivotStyle="PivotStyleLight16"/>
  <colors>
    <mruColors>
      <color rgb="FFA1FB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89"/>
  <sheetViews>
    <sheetView topLeftCell="E1" zoomScaleNormal="100" zoomScaleSheetLayoutView="70" workbookViewId="0">
      <pane ySplit="3" topLeftCell="A4" activePane="bottomLeft" state="frozen"/>
      <selection pane="bottomLeft" activeCell="G38" sqref="G38"/>
    </sheetView>
  </sheetViews>
  <sheetFormatPr defaultRowHeight="15"/>
  <cols>
    <col min="1" max="1" width="9.140625" style="1"/>
    <col min="2" max="2" width="6.42578125" customWidth="1"/>
    <col min="3" max="3" width="15.85546875" customWidth="1"/>
    <col min="4" max="4" width="22.140625" style="2" customWidth="1"/>
    <col min="5" max="5" width="40.5703125" customWidth="1"/>
    <col min="6" max="6" width="6.85546875" style="2" customWidth="1"/>
    <col min="7" max="7" width="12.7109375" style="2" customWidth="1"/>
    <col min="8" max="8" width="10.85546875" style="2" customWidth="1"/>
    <col min="9" max="9" width="15.28515625" style="2" customWidth="1"/>
    <col min="10" max="10" width="12.7109375" style="2" customWidth="1"/>
    <col min="11" max="12" width="9.7109375" style="2" customWidth="1"/>
    <col min="13" max="13" width="15.7109375" style="2" customWidth="1"/>
    <col min="14" max="14" width="15.5703125" style="2" customWidth="1"/>
    <col min="15" max="15" width="13.7109375" style="2" customWidth="1"/>
    <col min="16" max="16" width="11.5703125" customWidth="1"/>
    <col min="17" max="17" width="12.140625" customWidth="1"/>
    <col min="18" max="18" width="11.140625" customWidth="1"/>
    <col min="19" max="19" width="16" customWidth="1"/>
    <col min="20" max="20" width="24.28515625" bestFit="1" customWidth="1"/>
    <col min="24" max="24" width="9.140625" customWidth="1"/>
    <col min="25" max="25" width="0.140625" customWidth="1"/>
    <col min="26" max="26" width="5.7109375" customWidth="1"/>
    <col min="27" max="27" width="16.5703125" customWidth="1"/>
    <col min="28" max="28" width="25.140625" customWidth="1"/>
  </cols>
  <sheetData>
    <row r="1" spans="1:17" ht="36" customHeight="1">
      <c r="A1" s="315" t="s">
        <v>789</v>
      </c>
      <c r="B1" s="315"/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315"/>
      <c r="N1" s="315"/>
      <c r="O1" s="315"/>
      <c r="P1" s="316"/>
    </row>
    <row r="2" spans="1:17" s="115" customFormat="1" ht="31.5" customHeight="1">
      <c r="A2" s="317" t="s">
        <v>679</v>
      </c>
      <c r="B2" s="320" t="s">
        <v>257</v>
      </c>
      <c r="C2" s="322" t="s">
        <v>540</v>
      </c>
      <c r="D2" s="322" t="s">
        <v>21</v>
      </c>
      <c r="E2" s="324" t="s">
        <v>1</v>
      </c>
      <c r="F2" s="324" t="s">
        <v>2</v>
      </c>
      <c r="G2" s="210" t="s">
        <v>6</v>
      </c>
      <c r="H2" s="322" t="s">
        <v>444</v>
      </c>
      <c r="I2" s="322" t="s">
        <v>527</v>
      </c>
      <c r="J2" s="322" t="s">
        <v>528</v>
      </c>
      <c r="K2" s="326" t="s">
        <v>791</v>
      </c>
      <c r="L2" s="328" t="s">
        <v>450</v>
      </c>
      <c r="M2" s="322" t="s">
        <v>530</v>
      </c>
      <c r="N2" s="322" t="s">
        <v>531</v>
      </c>
      <c r="O2" s="211" t="s">
        <v>529</v>
      </c>
      <c r="P2" s="313" t="s">
        <v>656</v>
      </c>
      <c r="Q2" s="114"/>
    </row>
    <row r="3" spans="1:17" s="115" customFormat="1" ht="24" customHeight="1">
      <c r="A3" s="317"/>
      <c r="B3" s="321"/>
      <c r="C3" s="323"/>
      <c r="D3" s="323"/>
      <c r="E3" s="325"/>
      <c r="F3" s="325"/>
      <c r="G3" s="212" t="s">
        <v>539</v>
      </c>
      <c r="H3" s="323"/>
      <c r="I3" s="323"/>
      <c r="J3" s="323"/>
      <c r="K3" s="327"/>
      <c r="L3" s="329"/>
      <c r="M3" s="323"/>
      <c r="N3" s="323"/>
      <c r="O3" s="212" t="s">
        <v>655</v>
      </c>
      <c r="P3" s="314"/>
      <c r="Q3" s="116"/>
    </row>
    <row r="4" spans="1:17" s="2" customFormat="1" ht="16.5" customHeight="1">
      <c r="A4" s="14"/>
      <c r="B4" s="130">
        <v>1</v>
      </c>
      <c r="C4" s="82"/>
      <c r="D4" s="12" t="s">
        <v>32</v>
      </c>
      <c r="E4" s="49" t="s">
        <v>30</v>
      </c>
      <c r="F4" s="37" t="s">
        <v>3</v>
      </c>
      <c r="G4" s="87">
        <v>2</v>
      </c>
      <c r="H4" s="87">
        <v>0</v>
      </c>
      <c r="I4" s="80"/>
      <c r="J4" s="80"/>
      <c r="K4" s="189">
        <f>G4-H4</f>
        <v>2</v>
      </c>
      <c r="L4" s="191">
        <v>0</v>
      </c>
      <c r="M4" s="80"/>
      <c r="N4" s="80"/>
      <c r="O4" s="81"/>
      <c r="P4" s="14"/>
    </row>
    <row r="5" spans="1:17" s="2" customFormat="1" ht="15.75">
      <c r="A5" s="14"/>
      <c r="B5" s="130">
        <v>2</v>
      </c>
      <c r="C5" s="83"/>
      <c r="D5" s="12" t="s">
        <v>31</v>
      </c>
      <c r="E5" s="49" t="s">
        <v>30</v>
      </c>
      <c r="F5" s="37" t="s">
        <v>3</v>
      </c>
      <c r="G5" s="87">
        <v>2</v>
      </c>
      <c r="H5" s="87">
        <v>0</v>
      </c>
      <c r="I5" s="37"/>
      <c r="J5" s="37"/>
      <c r="K5" s="189">
        <f t="shared" ref="K5:K35" si="0">G5-H5</f>
        <v>2</v>
      </c>
      <c r="L5" s="191">
        <v>0</v>
      </c>
      <c r="M5" s="37"/>
      <c r="N5" s="37"/>
      <c r="O5" s="37"/>
      <c r="P5" s="14"/>
    </row>
    <row r="6" spans="1:17" ht="15.75">
      <c r="B6" s="130">
        <v>3</v>
      </c>
      <c r="C6" s="83"/>
      <c r="D6" s="12" t="s">
        <v>29</v>
      </c>
      <c r="E6" s="49" t="s">
        <v>278</v>
      </c>
      <c r="F6" s="37" t="s">
        <v>3</v>
      </c>
      <c r="G6" s="87">
        <v>12</v>
      </c>
      <c r="H6" s="87">
        <v>0</v>
      </c>
      <c r="I6" s="37"/>
      <c r="J6" s="37"/>
      <c r="K6" s="189">
        <f t="shared" si="0"/>
        <v>12</v>
      </c>
      <c r="L6" s="191">
        <v>0</v>
      </c>
      <c r="M6" s="37"/>
      <c r="N6" s="37"/>
      <c r="O6" s="37"/>
      <c r="P6" s="1"/>
    </row>
    <row r="7" spans="1:17" ht="15.75">
      <c r="B7" s="130">
        <v>4</v>
      </c>
      <c r="C7" s="83"/>
      <c r="D7" s="12" t="s">
        <v>28</v>
      </c>
      <c r="E7" s="49" t="s">
        <v>278</v>
      </c>
      <c r="F7" s="37" t="s">
        <v>3</v>
      </c>
      <c r="G7" s="87">
        <v>2</v>
      </c>
      <c r="H7" s="87">
        <v>0</v>
      </c>
      <c r="I7" s="37"/>
      <c r="J7" s="37"/>
      <c r="K7" s="189">
        <f t="shared" si="0"/>
        <v>2</v>
      </c>
      <c r="L7" s="191">
        <v>0</v>
      </c>
      <c r="M7" s="37"/>
      <c r="N7" s="37"/>
      <c r="O7" s="37"/>
      <c r="P7" s="1"/>
    </row>
    <row r="8" spans="1:17" ht="15.75">
      <c r="B8" s="130">
        <v>5</v>
      </c>
      <c r="C8" s="83"/>
      <c r="D8" s="12" t="s">
        <v>27</v>
      </c>
      <c r="E8" s="49" t="s">
        <v>278</v>
      </c>
      <c r="F8" s="37" t="s">
        <v>3</v>
      </c>
      <c r="G8" s="87">
        <v>4</v>
      </c>
      <c r="H8" s="87">
        <v>0</v>
      </c>
      <c r="I8" s="37"/>
      <c r="J8" s="37"/>
      <c r="K8" s="189">
        <f t="shared" si="0"/>
        <v>4</v>
      </c>
      <c r="L8" s="191">
        <v>0</v>
      </c>
      <c r="M8" s="37"/>
      <c r="N8" s="37"/>
      <c r="O8" s="37"/>
      <c r="P8" s="1"/>
    </row>
    <row r="9" spans="1:17" ht="15.75">
      <c r="B9" s="318">
        <v>6</v>
      </c>
      <c r="C9" s="83"/>
      <c r="D9" s="12" t="s">
        <v>25</v>
      </c>
      <c r="E9" s="49" t="s">
        <v>24</v>
      </c>
      <c r="F9" s="37" t="s">
        <v>3</v>
      </c>
      <c r="G9" s="87">
        <v>4</v>
      </c>
      <c r="H9" s="87">
        <v>0</v>
      </c>
      <c r="I9" s="37"/>
      <c r="J9" s="37"/>
      <c r="K9" s="189">
        <f t="shared" si="0"/>
        <v>4</v>
      </c>
      <c r="L9" s="191">
        <v>0</v>
      </c>
      <c r="M9" s="37"/>
      <c r="N9" s="37"/>
      <c r="O9" s="37"/>
      <c r="P9" s="1"/>
    </row>
    <row r="10" spans="1:17" ht="15.75">
      <c r="B10" s="319"/>
      <c r="C10" s="83"/>
      <c r="D10" s="12" t="s">
        <v>23</v>
      </c>
      <c r="E10" s="49" t="s">
        <v>22</v>
      </c>
      <c r="F10" s="37" t="s">
        <v>3</v>
      </c>
      <c r="G10" s="87">
        <v>4</v>
      </c>
      <c r="H10" s="87">
        <v>0</v>
      </c>
      <c r="I10" s="37"/>
      <c r="J10" s="37"/>
      <c r="K10" s="189">
        <f t="shared" si="0"/>
        <v>4</v>
      </c>
      <c r="L10" s="191">
        <v>0</v>
      </c>
      <c r="M10" s="37"/>
      <c r="N10" s="37"/>
      <c r="O10" s="37"/>
      <c r="P10" s="1"/>
    </row>
    <row r="11" spans="1:17" ht="15.75">
      <c r="B11" s="130">
        <v>7</v>
      </c>
      <c r="C11" s="83"/>
      <c r="D11" s="12" t="s">
        <v>33</v>
      </c>
      <c r="E11" s="49" t="s">
        <v>30</v>
      </c>
      <c r="F11" s="37" t="s">
        <v>5</v>
      </c>
      <c r="G11" s="87">
        <v>1</v>
      </c>
      <c r="H11" s="87">
        <v>0</v>
      </c>
      <c r="I11" s="37"/>
      <c r="J11" s="37"/>
      <c r="K11" s="189">
        <f t="shared" si="0"/>
        <v>1</v>
      </c>
      <c r="L11" s="191">
        <v>0</v>
      </c>
      <c r="M11" s="37"/>
      <c r="N11" s="37"/>
      <c r="O11" s="37"/>
      <c r="P11" s="1"/>
    </row>
    <row r="12" spans="1:17" ht="15.75">
      <c r="B12" s="130">
        <v>8</v>
      </c>
      <c r="C12" s="83"/>
      <c r="D12" s="12" t="s">
        <v>34</v>
      </c>
      <c r="E12" s="49" t="s">
        <v>35</v>
      </c>
      <c r="F12" s="37" t="s">
        <v>3</v>
      </c>
      <c r="G12" s="87">
        <v>5</v>
      </c>
      <c r="H12" s="87">
        <v>0</v>
      </c>
      <c r="I12" s="37"/>
      <c r="J12" s="37"/>
      <c r="K12" s="189">
        <f t="shared" si="0"/>
        <v>5</v>
      </c>
      <c r="L12" s="191">
        <v>0</v>
      </c>
      <c r="M12" s="37"/>
      <c r="N12" s="37"/>
      <c r="O12" s="37"/>
      <c r="P12" s="1"/>
    </row>
    <row r="13" spans="1:17" ht="15.75">
      <c r="B13" s="130">
        <v>9</v>
      </c>
      <c r="C13" s="83"/>
      <c r="D13" s="12" t="s">
        <v>36</v>
      </c>
      <c r="E13" s="49" t="s">
        <v>35</v>
      </c>
      <c r="F13" s="37" t="s">
        <v>3</v>
      </c>
      <c r="G13" s="88">
        <v>5</v>
      </c>
      <c r="H13" s="87">
        <v>0</v>
      </c>
      <c r="I13" s="37"/>
      <c r="J13" s="37"/>
      <c r="K13" s="189">
        <f t="shared" si="0"/>
        <v>5</v>
      </c>
      <c r="L13" s="162">
        <v>0</v>
      </c>
      <c r="M13" s="37"/>
      <c r="N13" s="37"/>
      <c r="O13" s="37"/>
      <c r="P13" s="1"/>
    </row>
    <row r="14" spans="1:17" ht="15.75">
      <c r="B14" s="130">
        <v>10</v>
      </c>
      <c r="C14" s="83"/>
      <c r="D14" s="12" t="s">
        <v>37</v>
      </c>
      <c r="E14" s="49" t="s">
        <v>35</v>
      </c>
      <c r="F14" s="37" t="s">
        <v>3</v>
      </c>
      <c r="G14" s="88">
        <v>5</v>
      </c>
      <c r="H14" s="87">
        <v>0</v>
      </c>
      <c r="I14" s="37"/>
      <c r="J14" s="37"/>
      <c r="K14" s="189">
        <f t="shared" si="0"/>
        <v>5</v>
      </c>
      <c r="L14" s="162">
        <v>0</v>
      </c>
      <c r="M14" s="37"/>
      <c r="N14" s="37"/>
      <c r="O14" s="37"/>
      <c r="P14" s="1"/>
    </row>
    <row r="15" spans="1:17" ht="15.75">
      <c r="B15" s="130">
        <v>11</v>
      </c>
      <c r="C15" s="83"/>
      <c r="D15" s="12" t="s">
        <v>38</v>
      </c>
      <c r="E15" s="38" t="s">
        <v>39</v>
      </c>
      <c r="F15" s="37" t="s">
        <v>3</v>
      </c>
      <c r="G15" s="88">
        <v>2</v>
      </c>
      <c r="H15" s="87">
        <v>0</v>
      </c>
      <c r="I15" s="37"/>
      <c r="J15" s="37"/>
      <c r="K15" s="189">
        <f t="shared" si="0"/>
        <v>2</v>
      </c>
      <c r="L15" s="162">
        <v>0</v>
      </c>
      <c r="M15" s="37"/>
      <c r="N15" s="37"/>
      <c r="O15" s="37"/>
      <c r="P15" s="1"/>
    </row>
    <row r="16" spans="1:17" ht="15.75">
      <c r="B16" s="130">
        <v>12</v>
      </c>
      <c r="C16" s="83"/>
      <c r="D16" s="12" t="s">
        <v>40</v>
      </c>
      <c r="E16" s="51" t="s">
        <v>41</v>
      </c>
      <c r="F16" s="37" t="s">
        <v>5</v>
      </c>
      <c r="G16" s="88">
        <v>1</v>
      </c>
      <c r="H16" s="87">
        <v>0</v>
      </c>
      <c r="I16" s="37"/>
      <c r="J16" s="37"/>
      <c r="K16" s="189">
        <f t="shared" si="0"/>
        <v>1</v>
      </c>
      <c r="L16" s="162">
        <v>0</v>
      </c>
      <c r="M16" s="37"/>
      <c r="N16" s="37"/>
      <c r="O16" s="37"/>
      <c r="P16" s="1"/>
    </row>
    <row r="17" spans="2:17" ht="15.75">
      <c r="B17" s="130">
        <v>13</v>
      </c>
      <c r="C17" s="83"/>
      <c r="D17" s="12" t="s">
        <v>43</v>
      </c>
      <c r="E17" s="51" t="s">
        <v>42</v>
      </c>
      <c r="F17" s="37" t="s">
        <v>3</v>
      </c>
      <c r="G17" s="88">
        <v>38</v>
      </c>
      <c r="H17" s="87">
        <v>0</v>
      </c>
      <c r="I17" s="37"/>
      <c r="J17" s="37"/>
      <c r="K17" s="189">
        <f t="shared" si="0"/>
        <v>38</v>
      </c>
      <c r="L17" s="162">
        <v>0</v>
      </c>
      <c r="M17" s="37"/>
      <c r="N17" s="37"/>
      <c r="O17" s="37"/>
      <c r="P17" s="1"/>
    </row>
    <row r="18" spans="2:17" ht="15.75">
      <c r="B18" s="130">
        <v>14</v>
      </c>
      <c r="C18" s="83"/>
      <c r="D18" s="12" t="s">
        <v>44</v>
      </c>
      <c r="E18" s="51" t="s">
        <v>41</v>
      </c>
      <c r="F18" s="37" t="s">
        <v>5</v>
      </c>
      <c r="G18" s="88">
        <v>1</v>
      </c>
      <c r="H18" s="87">
        <v>0</v>
      </c>
      <c r="I18" s="37"/>
      <c r="J18" s="37"/>
      <c r="K18" s="189">
        <f t="shared" si="0"/>
        <v>1</v>
      </c>
      <c r="L18" s="162">
        <v>0</v>
      </c>
      <c r="M18" s="37"/>
      <c r="N18" s="37"/>
      <c r="O18" s="37"/>
      <c r="P18" s="1"/>
    </row>
    <row r="19" spans="2:17" ht="15.75">
      <c r="B19" s="130">
        <v>15</v>
      </c>
      <c r="C19" s="83"/>
      <c r="D19" s="12" t="s">
        <v>43</v>
      </c>
      <c r="E19" s="51" t="s">
        <v>42</v>
      </c>
      <c r="F19" s="37" t="s">
        <v>3</v>
      </c>
      <c r="G19" s="88">
        <v>38</v>
      </c>
      <c r="H19" s="87">
        <v>0</v>
      </c>
      <c r="I19" s="37"/>
      <c r="J19" s="37"/>
      <c r="K19" s="189">
        <f t="shared" si="0"/>
        <v>38</v>
      </c>
      <c r="L19" s="162">
        <v>0</v>
      </c>
      <c r="M19" s="37"/>
      <c r="N19" s="37"/>
      <c r="O19" s="37"/>
      <c r="P19" s="1"/>
    </row>
    <row r="20" spans="2:17" ht="15.75">
      <c r="B20" s="130">
        <v>16</v>
      </c>
      <c r="C20" s="83"/>
      <c r="D20" s="12" t="s">
        <v>45</v>
      </c>
      <c r="E20" s="49" t="s">
        <v>30</v>
      </c>
      <c r="F20" s="37" t="s">
        <v>3</v>
      </c>
      <c r="G20" s="88">
        <v>2</v>
      </c>
      <c r="H20" s="87">
        <v>0</v>
      </c>
      <c r="I20" s="37"/>
      <c r="J20" s="37"/>
      <c r="K20" s="189">
        <f t="shared" si="0"/>
        <v>2</v>
      </c>
      <c r="L20" s="162">
        <v>0</v>
      </c>
      <c r="M20" s="37"/>
      <c r="N20" s="37"/>
      <c r="O20" s="37"/>
      <c r="P20" s="1"/>
    </row>
    <row r="21" spans="2:17" ht="15.75">
      <c r="B21" s="130">
        <v>17</v>
      </c>
      <c r="C21" s="83"/>
      <c r="D21" s="12" t="s">
        <v>46</v>
      </c>
      <c r="E21" s="49" t="s">
        <v>30</v>
      </c>
      <c r="F21" s="37" t="s">
        <v>3</v>
      </c>
      <c r="G21" s="88">
        <v>2</v>
      </c>
      <c r="H21" s="87">
        <v>0</v>
      </c>
      <c r="I21" s="37"/>
      <c r="J21" s="37"/>
      <c r="K21" s="189">
        <f t="shared" si="0"/>
        <v>2</v>
      </c>
      <c r="L21" s="162">
        <v>0</v>
      </c>
      <c r="M21" s="37"/>
      <c r="N21" s="37"/>
      <c r="O21" s="37"/>
      <c r="P21" s="1"/>
    </row>
    <row r="22" spans="2:17" ht="15.75">
      <c r="B22" s="130">
        <v>18</v>
      </c>
      <c r="C22" s="83"/>
      <c r="D22" s="12" t="s">
        <v>47</v>
      </c>
      <c r="E22" s="49" t="s">
        <v>30</v>
      </c>
      <c r="F22" s="37" t="s">
        <v>3</v>
      </c>
      <c r="G22" s="88">
        <v>2</v>
      </c>
      <c r="H22" s="87">
        <v>0</v>
      </c>
      <c r="I22" s="37"/>
      <c r="J22" s="37"/>
      <c r="K22" s="189">
        <f t="shared" si="0"/>
        <v>2</v>
      </c>
      <c r="L22" s="162">
        <v>0</v>
      </c>
      <c r="M22" s="37"/>
      <c r="N22" s="37"/>
      <c r="O22" s="37"/>
      <c r="P22" s="1"/>
    </row>
    <row r="23" spans="2:17" ht="15.75">
      <c r="B23" s="130">
        <v>19</v>
      </c>
      <c r="C23" s="83"/>
      <c r="D23" s="12" t="s">
        <v>48</v>
      </c>
      <c r="E23" s="49" t="s">
        <v>26</v>
      </c>
      <c r="F23" s="37" t="s">
        <v>3</v>
      </c>
      <c r="G23" s="88">
        <v>50</v>
      </c>
      <c r="H23" s="87">
        <v>0</v>
      </c>
      <c r="I23" s="37"/>
      <c r="J23" s="37"/>
      <c r="K23" s="189">
        <f t="shared" si="0"/>
        <v>50</v>
      </c>
      <c r="L23" s="162">
        <v>0</v>
      </c>
      <c r="M23" s="37"/>
      <c r="N23" s="37"/>
      <c r="O23" s="37"/>
      <c r="P23" s="1"/>
    </row>
    <row r="24" spans="2:17" ht="15.75">
      <c r="B24" s="130">
        <v>20</v>
      </c>
      <c r="C24" s="83"/>
      <c r="D24" s="12" t="s">
        <v>49</v>
      </c>
      <c r="E24" s="51" t="s">
        <v>50</v>
      </c>
      <c r="F24" s="37" t="s">
        <v>3</v>
      </c>
      <c r="G24" s="88">
        <v>2</v>
      </c>
      <c r="H24" s="87">
        <v>0</v>
      </c>
      <c r="I24" s="37"/>
      <c r="J24" s="37"/>
      <c r="K24" s="189">
        <f t="shared" si="0"/>
        <v>2</v>
      </c>
      <c r="L24" s="162">
        <v>0</v>
      </c>
      <c r="M24" s="37"/>
      <c r="N24" s="37"/>
      <c r="O24" s="37"/>
      <c r="P24" s="1"/>
    </row>
    <row r="25" spans="2:17" ht="15.75">
      <c r="B25" s="130">
        <v>21</v>
      </c>
      <c r="C25" s="83"/>
      <c r="D25" s="12" t="s">
        <v>51</v>
      </c>
      <c r="E25" s="49" t="s">
        <v>26</v>
      </c>
      <c r="F25" s="37" t="s">
        <v>3</v>
      </c>
      <c r="G25" s="88">
        <v>100</v>
      </c>
      <c r="H25" s="87">
        <v>0</v>
      </c>
      <c r="I25" s="37"/>
      <c r="J25" s="37"/>
      <c r="K25" s="189">
        <f t="shared" si="0"/>
        <v>100</v>
      </c>
      <c r="L25" s="162">
        <v>0</v>
      </c>
      <c r="M25" s="37"/>
      <c r="N25" s="37"/>
      <c r="O25" s="37"/>
      <c r="P25" s="1"/>
    </row>
    <row r="26" spans="2:17" ht="15.75">
      <c r="B26" s="130">
        <v>22</v>
      </c>
      <c r="C26" s="83"/>
      <c r="D26" s="12">
        <v>9160723001</v>
      </c>
      <c r="E26" s="51" t="s">
        <v>52</v>
      </c>
      <c r="F26" s="37" t="s">
        <v>3</v>
      </c>
      <c r="G26" s="88">
        <v>4</v>
      </c>
      <c r="H26" s="87">
        <v>0</v>
      </c>
      <c r="I26" s="37"/>
      <c r="J26" s="37"/>
      <c r="K26" s="189">
        <f t="shared" si="0"/>
        <v>4</v>
      </c>
      <c r="L26" s="162">
        <v>0</v>
      </c>
      <c r="M26" s="37"/>
      <c r="N26" s="37"/>
      <c r="O26" s="37"/>
      <c r="P26" s="1"/>
    </row>
    <row r="27" spans="2:17" ht="15.75">
      <c r="B27" s="130">
        <v>23</v>
      </c>
      <c r="C27" s="83"/>
      <c r="D27" s="12">
        <v>9150006101</v>
      </c>
      <c r="E27" s="51" t="s">
        <v>53</v>
      </c>
      <c r="F27" s="37" t="s">
        <v>3</v>
      </c>
      <c r="G27" s="88">
        <v>72</v>
      </c>
      <c r="H27" s="87">
        <v>0</v>
      </c>
      <c r="I27" s="37"/>
      <c r="J27" s="37"/>
      <c r="K27" s="189">
        <f t="shared" si="0"/>
        <v>72</v>
      </c>
      <c r="L27" s="162">
        <v>0</v>
      </c>
      <c r="M27" s="37"/>
      <c r="N27" s="37"/>
      <c r="O27" s="37"/>
      <c r="P27" s="41"/>
    </row>
    <row r="28" spans="2:17" ht="15.75">
      <c r="B28" s="130">
        <v>24</v>
      </c>
      <c r="C28" s="83"/>
      <c r="D28" s="12">
        <v>9160723101</v>
      </c>
      <c r="E28" s="51" t="s">
        <v>54</v>
      </c>
      <c r="F28" s="37" t="s">
        <v>3</v>
      </c>
      <c r="G28" s="88">
        <v>4</v>
      </c>
      <c r="H28" s="87">
        <v>0</v>
      </c>
      <c r="I28" s="37"/>
      <c r="J28" s="37"/>
      <c r="K28" s="189">
        <f t="shared" si="0"/>
        <v>4</v>
      </c>
      <c r="L28" s="162">
        <v>0</v>
      </c>
      <c r="M28" s="37"/>
      <c r="N28" s="37"/>
      <c r="O28" s="37"/>
      <c r="P28" s="1"/>
    </row>
    <row r="29" spans="2:17" ht="15.75">
      <c r="B29" s="130">
        <v>25</v>
      </c>
      <c r="C29" s="83"/>
      <c r="D29" s="12">
        <v>9150006201</v>
      </c>
      <c r="E29" s="51" t="s">
        <v>55</v>
      </c>
      <c r="F29" s="37" t="s">
        <v>3</v>
      </c>
      <c r="G29" s="88">
        <v>72</v>
      </c>
      <c r="H29" s="87">
        <v>0</v>
      </c>
      <c r="I29" s="37"/>
      <c r="J29" s="37"/>
      <c r="K29" s="189">
        <f t="shared" si="0"/>
        <v>72</v>
      </c>
      <c r="L29" s="162">
        <v>0</v>
      </c>
      <c r="M29" s="37"/>
      <c r="N29" s="37"/>
      <c r="O29" s="37"/>
      <c r="P29" s="1"/>
      <c r="Q29" s="5"/>
    </row>
    <row r="30" spans="2:17" ht="15.75">
      <c r="B30" s="130">
        <v>26</v>
      </c>
      <c r="C30" s="83"/>
      <c r="D30" s="12">
        <v>9140023101</v>
      </c>
      <c r="E30" s="38" t="s">
        <v>56</v>
      </c>
      <c r="F30" s="37" t="s">
        <v>3</v>
      </c>
      <c r="G30" s="88">
        <v>6</v>
      </c>
      <c r="H30" s="87">
        <v>0</v>
      </c>
      <c r="I30" s="37"/>
      <c r="J30" s="37"/>
      <c r="K30" s="189">
        <f t="shared" si="0"/>
        <v>6</v>
      </c>
      <c r="L30" s="162">
        <v>0</v>
      </c>
      <c r="M30" s="37"/>
      <c r="N30" s="37"/>
      <c r="O30" s="37"/>
      <c r="P30" s="1"/>
      <c r="Q30" s="5"/>
    </row>
    <row r="31" spans="2:17" ht="15.75">
      <c r="B31" s="130">
        <v>27</v>
      </c>
      <c r="C31" s="83"/>
      <c r="D31" s="12">
        <v>9150043113</v>
      </c>
      <c r="E31" s="44" t="s">
        <v>57</v>
      </c>
      <c r="F31" s="37" t="s">
        <v>3</v>
      </c>
      <c r="G31" s="88">
        <v>12</v>
      </c>
      <c r="H31" s="87">
        <v>0</v>
      </c>
      <c r="I31" s="37"/>
      <c r="J31" s="37"/>
      <c r="K31" s="189">
        <f t="shared" si="0"/>
        <v>12</v>
      </c>
      <c r="L31" s="162">
        <v>0</v>
      </c>
      <c r="M31" s="37"/>
      <c r="N31" s="37"/>
      <c r="O31" s="37"/>
      <c r="P31" s="1"/>
      <c r="Q31" s="5"/>
    </row>
    <row r="32" spans="2:17" ht="15.75">
      <c r="B32" s="130">
        <v>28</v>
      </c>
      <c r="C32" s="83"/>
      <c r="D32" s="12">
        <v>9150006224</v>
      </c>
      <c r="E32" s="44" t="s">
        <v>58</v>
      </c>
      <c r="F32" s="37" t="s">
        <v>3</v>
      </c>
      <c r="G32" s="88">
        <v>48</v>
      </c>
      <c r="H32" s="87">
        <v>0</v>
      </c>
      <c r="I32" s="37"/>
      <c r="J32" s="37"/>
      <c r="K32" s="189">
        <f t="shared" si="0"/>
        <v>48</v>
      </c>
      <c r="L32" s="162">
        <v>0</v>
      </c>
      <c r="M32" s="37"/>
      <c r="N32" s="37"/>
      <c r="O32" s="37"/>
      <c r="P32" s="1"/>
      <c r="Q32" s="5"/>
    </row>
    <row r="33" spans="1:17" ht="15.75">
      <c r="B33" s="130">
        <v>29</v>
      </c>
      <c r="C33" s="83"/>
      <c r="D33" s="12" t="s">
        <v>62</v>
      </c>
      <c r="E33" s="38" t="s">
        <v>59</v>
      </c>
      <c r="F33" s="37" t="s">
        <v>65</v>
      </c>
      <c r="G33" s="88">
        <v>3</v>
      </c>
      <c r="H33" s="87">
        <v>0</v>
      </c>
      <c r="I33" s="37"/>
      <c r="J33" s="37"/>
      <c r="K33" s="189">
        <f t="shared" si="0"/>
        <v>3</v>
      </c>
      <c r="L33" s="162">
        <v>0</v>
      </c>
      <c r="M33" s="37"/>
      <c r="N33" s="37"/>
      <c r="O33" s="37"/>
      <c r="P33" s="1"/>
      <c r="Q33" s="5"/>
    </row>
    <row r="34" spans="1:17" ht="15.75">
      <c r="B34" s="130">
        <v>30</v>
      </c>
      <c r="C34" s="83"/>
      <c r="D34" s="12" t="s">
        <v>63</v>
      </c>
      <c r="E34" s="38" t="s">
        <v>60</v>
      </c>
      <c r="F34" s="37" t="s">
        <v>3</v>
      </c>
      <c r="G34" s="88">
        <v>10</v>
      </c>
      <c r="H34" s="87">
        <v>0</v>
      </c>
      <c r="I34" s="37"/>
      <c r="J34" s="37"/>
      <c r="K34" s="189">
        <f t="shared" si="0"/>
        <v>10</v>
      </c>
      <c r="L34" s="162">
        <v>0</v>
      </c>
      <c r="M34" s="37"/>
      <c r="N34" s="37"/>
      <c r="O34" s="37"/>
      <c r="P34" s="1"/>
      <c r="Q34" s="5"/>
    </row>
    <row r="35" spans="1:17" ht="15.75">
      <c r="B35" s="130">
        <v>31</v>
      </c>
      <c r="C35" s="83"/>
      <c r="D35" s="12" t="s">
        <v>64</v>
      </c>
      <c r="E35" s="38" t="s">
        <v>61</v>
      </c>
      <c r="F35" s="37" t="s">
        <v>3</v>
      </c>
      <c r="G35" s="88">
        <v>10</v>
      </c>
      <c r="H35" s="87">
        <v>0</v>
      </c>
      <c r="I35" s="37"/>
      <c r="J35" s="37"/>
      <c r="K35" s="189">
        <f t="shared" si="0"/>
        <v>10</v>
      </c>
      <c r="L35" s="162">
        <v>0</v>
      </c>
      <c r="M35" s="37"/>
      <c r="N35" s="37"/>
      <c r="O35" s="37"/>
      <c r="P35" s="1"/>
      <c r="Q35" s="5"/>
    </row>
    <row r="36" spans="1:17" s="3" customFormat="1" ht="18.75">
      <c r="A36" s="133"/>
      <c r="L36" s="192"/>
      <c r="Q36" s="40"/>
    </row>
    <row r="37" spans="1:17" s="11" customFormat="1" ht="18.75" customHeight="1">
      <c r="A37" s="10"/>
      <c r="L37" s="193"/>
    </row>
    <row r="38" spans="1:17" s="11" customFormat="1" ht="15.75">
      <c r="A38" s="10"/>
      <c r="L38" s="193"/>
    </row>
    <row r="39" spans="1:17" s="11" customFormat="1" ht="15.75">
      <c r="A39" s="10"/>
      <c r="L39" s="193"/>
    </row>
    <row r="40" spans="1:17" s="11" customFormat="1" ht="15.75">
      <c r="A40" s="10"/>
      <c r="L40" s="193"/>
    </row>
    <row r="41" spans="1:17" s="11" customFormat="1" ht="15.75">
      <c r="A41" s="10"/>
      <c r="L41" s="193"/>
    </row>
    <row r="42" spans="1:17" s="11" customFormat="1" ht="15.75">
      <c r="A42" s="10"/>
      <c r="L42" s="193"/>
    </row>
    <row r="43" spans="1:17" s="11" customFormat="1" ht="15.75">
      <c r="A43" s="10"/>
      <c r="L43" s="193"/>
    </row>
    <row r="44" spans="1:17" s="11" customFormat="1" ht="15.75">
      <c r="A44" s="10"/>
      <c r="L44" s="193"/>
    </row>
    <row r="45" spans="1:17" s="11" customFormat="1" ht="15.75">
      <c r="A45" s="10"/>
      <c r="L45" s="193"/>
    </row>
    <row r="46" spans="1:17" s="11" customFormat="1" ht="15.75">
      <c r="A46" s="10"/>
      <c r="L46" s="193"/>
    </row>
    <row r="47" spans="1:17" s="11" customFormat="1" ht="18" customHeight="1">
      <c r="A47" s="10"/>
      <c r="L47" s="193"/>
    </row>
    <row r="48" spans="1:17" s="11" customFormat="1" ht="15.75">
      <c r="A48" s="10"/>
      <c r="L48" s="193"/>
    </row>
    <row r="49" spans="1:12" s="11" customFormat="1" ht="15.75">
      <c r="A49" s="10"/>
      <c r="L49" s="193"/>
    </row>
    <row r="50" spans="1:12" s="11" customFormat="1" ht="15.75">
      <c r="A50" s="10"/>
      <c r="L50" s="193"/>
    </row>
    <row r="51" spans="1:12" s="11" customFormat="1" ht="15.75">
      <c r="A51" s="10"/>
      <c r="L51" s="193"/>
    </row>
    <row r="52" spans="1:12" s="11" customFormat="1" ht="15.75">
      <c r="A52" s="10"/>
      <c r="L52" s="193"/>
    </row>
    <row r="53" spans="1:12" s="11" customFormat="1" ht="15.75">
      <c r="A53" s="10"/>
      <c r="L53" s="193"/>
    </row>
    <row r="54" spans="1:12" s="11" customFormat="1" ht="15.75">
      <c r="A54" s="10"/>
      <c r="L54" s="193"/>
    </row>
    <row r="55" spans="1:12" s="11" customFormat="1" ht="15.75">
      <c r="A55" s="10"/>
      <c r="L55" s="193"/>
    </row>
    <row r="56" spans="1:12" s="11" customFormat="1" ht="15.75">
      <c r="A56" s="10"/>
      <c r="L56" s="193"/>
    </row>
    <row r="57" spans="1:12" s="11" customFormat="1" ht="15.75">
      <c r="A57" s="10"/>
      <c r="L57" s="193"/>
    </row>
    <row r="58" spans="1:12" s="11" customFormat="1" ht="15.75">
      <c r="A58" s="10"/>
      <c r="L58" s="193"/>
    </row>
    <row r="59" spans="1:12" s="11" customFormat="1" ht="15.75">
      <c r="A59" s="10"/>
      <c r="L59" s="193"/>
    </row>
    <row r="60" spans="1:12" s="11" customFormat="1" ht="15.75">
      <c r="A60" s="10"/>
      <c r="L60" s="193"/>
    </row>
    <row r="61" spans="1:12" s="11" customFormat="1" ht="15.75">
      <c r="A61" s="10"/>
      <c r="L61" s="193"/>
    </row>
    <row r="62" spans="1:12" s="11" customFormat="1" ht="15.75">
      <c r="A62" s="10"/>
      <c r="L62" s="193"/>
    </row>
    <row r="63" spans="1:12" s="11" customFormat="1" ht="15.75">
      <c r="A63" s="10"/>
      <c r="L63" s="193"/>
    </row>
    <row r="64" spans="1:12" s="11" customFormat="1" ht="15.75">
      <c r="A64" s="10"/>
      <c r="L64" s="193"/>
    </row>
    <row r="65" spans="1:12" s="11" customFormat="1" ht="15.75">
      <c r="A65" s="10"/>
      <c r="L65" s="193"/>
    </row>
    <row r="66" spans="1:12" s="11" customFormat="1" ht="15.75">
      <c r="A66" s="10"/>
      <c r="L66" s="193"/>
    </row>
    <row r="67" spans="1:12" s="11" customFormat="1" ht="15.75">
      <c r="A67" s="10"/>
      <c r="L67" s="193"/>
    </row>
    <row r="68" spans="1:12" s="11" customFormat="1" ht="15.75">
      <c r="A68" s="10"/>
      <c r="L68" s="193"/>
    </row>
    <row r="69" spans="1:12" s="11" customFormat="1" ht="15.75">
      <c r="A69" s="10"/>
      <c r="L69" s="193"/>
    </row>
    <row r="70" spans="1:12" s="11" customFormat="1" ht="15.75">
      <c r="A70" s="10"/>
      <c r="L70" s="193"/>
    </row>
    <row r="71" spans="1:12" s="11" customFormat="1" ht="15.75">
      <c r="A71" s="10"/>
      <c r="L71" s="193"/>
    </row>
    <row r="72" spans="1:12" s="11" customFormat="1" ht="15.75">
      <c r="A72" s="10"/>
      <c r="L72" s="193"/>
    </row>
    <row r="73" spans="1:12" s="11" customFormat="1" ht="15.75">
      <c r="A73" s="10"/>
      <c r="L73" s="193"/>
    </row>
    <row r="74" spans="1:12" s="11" customFormat="1" ht="15.75">
      <c r="A74" s="10"/>
      <c r="L74" s="193"/>
    </row>
    <row r="75" spans="1:12" s="11" customFormat="1" ht="15.75">
      <c r="A75" s="10"/>
      <c r="L75" s="193"/>
    </row>
    <row r="76" spans="1:12" s="11" customFormat="1" ht="15.75">
      <c r="A76" s="10"/>
      <c r="L76" s="193"/>
    </row>
    <row r="77" spans="1:12" s="11" customFormat="1" ht="15.75">
      <c r="A77" s="10"/>
      <c r="L77" s="193"/>
    </row>
    <row r="78" spans="1:12" s="11" customFormat="1" ht="15.75">
      <c r="A78" s="10"/>
      <c r="L78" s="193"/>
    </row>
    <row r="79" spans="1:12" s="11" customFormat="1" ht="15.75">
      <c r="A79" s="10"/>
      <c r="L79" s="193"/>
    </row>
    <row r="80" spans="1:12" s="11" customFormat="1" ht="15.75">
      <c r="A80" s="10"/>
      <c r="L80" s="193"/>
    </row>
    <row r="81" spans="1:12" s="11" customFormat="1" ht="15.75">
      <c r="A81" s="10"/>
      <c r="L81" s="193"/>
    </row>
    <row r="82" spans="1:12" s="11" customFormat="1" ht="15.75">
      <c r="A82" s="10"/>
      <c r="L82" s="193"/>
    </row>
    <row r="83" spans="1:12" s="11" customFormat="1" ht="15.75">
      <c r="A83" s="10"/>
      <c r="L83" s="193"/>
    </row>
    <row r="84" spans="1:12" s="11" customFormat="1" ht="15.75">
      <c r="A84" s="10"/>
      <c r="L84" s="193"/>
    </row>
    <row r="85" spans="1:12" s="11" customFormat="1" ht="15.75">
      <c r="A85" s="10"/>
      <c r="L85" s="193"/>
    </row>
    <row r="86" spans="1:12" s="11" customFormat="1" ht="15.75">
      <c r="A86" s="10"/>
      <c r="L86" s="193"/>
    </row>
    <row r="87" spans="1:12" s="11" customFormat="1" ht="15.75">
      <c r="A87" s="10"/>
      <c r="L87" s="193"/>
    </row>
    <row r="88" spans="1:12" s="11" customFormat="1" ht="15.75">
      <c r="A88" s="10"/>
      <c r="L88" s="193"/>
    </row>
    <row r="89" spans="1:12" s="11" customFormat="1" ht="15.75">
      <c r="A89" s="10"/>
      <c r="L89" s="193"/>
    </row>
    <row r="90" spans="1:12" s="11" customFormat="1" ht="15.75">
      <c r="A90" s="10"/>
      <c r="L90" s="193"/>
    </row>
    <row r="91" spans="1:12" s="11" customFormat="1" ht="15.75">
      <c r="A91" s="10"/>
      <c r="L91" s="193"/>
    </row>
    <row r="92" spans="1:12" s="11" customFormat="1" ht="15.75">
      <c r="A92" s="10"/>
      <c r="L92" s="193"/>
    </row>
    <row r="93" spans="1:12" s="11" customFormat="1" ht="15.75">
      <c r="A93" s="10"/>
      <c r="L93" s="193"/>
    </row>
    <row r="94" spans="1:12" s="11" customFormat="1" ht="15.75">
      <c r="A94" s="10"/>
      <c r="L94" s="193"/>
    </row>
    <row r="95" spans="1:12" s="11" customFormat="1" ht="15.75">
      <c r="A95" s="10"/>
      <c r="L95" s="193"/>
    </row>
    <row r="96" spans="1:12" s="11" customFormat="1" ht="15.75">
      <c r="A96" s="10"/>
      <c r="L96" s="193"/>
    </row>
    <row r="97" spans="1:12" s="11" customFormat="1" ht="15.75">
      <c r="A97" s="10"/>
      <c r="L97" s="193"/>
    </row>
    <row r="98" spans="1:12" s="11" customFormat="1" ht="15.75">
      <c r="A98" s="10"/>
      <c r="L98" s="193"/>
    </row>
    <row r="99" spans="1:12" s="11" customFormat="1" ht="15.75">
      <c r="A99" s="10"/>
      <c r="L99" s="193"/>
    </row>
    <row r="100" spans="1:12" s="11" customFormat="1" ht="15.75">
      <c r="A100" s="10"/>
      <c r="L100" s="193"/>
    </row>
    <row r="101" spans="1:12" s="11" customFormat="1" ht="15.75">
      <c r="A101" s="10"/>
      <c r="L101" s="193"/>
    </row>
    <row r="102" spans="1:12" s="11" customFormat="1" ht="15.75">
      <c r="A102" s="10"/>
      <c r="L102" s="193"/>
    </row>
    <row r="103" spans="1:12" s="11" customFormat="1" ht="15.75">
      <c r="A103" s="10"/>
      <c r="L103" s="193"/>
    </row>
    <row r="104" spans="1:12" s="11" customFormat="1" ht="15.75">
      <c r="A104" s="10"/>
      <c r="L104" s="193"/>
    </row>
    <row r="105" spans="1:12" s="11" customFormat="1" ht="15.75">
      <c r="A105" s="10"/>
      <c r="L105" s="193"/>
    </row>
    <row r="106" spans="1:12" s="11" customFormat="1" ht="15.75">
      <c r="A106" s="10"/>
      <c r="L106" s="193"/>
    </row>
    <row r="107" spans="1:12" s="11" customFormat="1" ht="15.75">
      <c r="A107" s="10"/>
      <c r="L107" s="193"/>
    </row>
    <row r="108" spans="1:12" s="11" customFormat="1" ht="15.75">
      <c r="A108" s="10"/>
      <c r="L108" s="193"/>
    </row>
    <row r="109" spans="1:12" s="11" customFormat="1" ht="15.75">
      <c r="A109" s="10"/>
      <c r="L109" s="193"/>
    </row>
    <row r="110" spans="1:12" s="11" customFormat="1" ht="15.75">
      <c r="A110" s="10"/>
      <c r="L110" s="193"/>
    </row>
    <row r="111" spans="1:12" s="11" customFormat="1" ht="15.75">
      <c r="A111" s="10"/>
      <c r="L111" s="193"/>
    </row>
    <row r="112" spans="1:12" s="11" customFormat="1" ht="15.75">
      <c r="A112" s="10"/>
      <c r="L112" s="193"/>
    </row>
    <row r="113" spans="1:12" s="11" customFormat="1" ht="15.75">
      <c r="A113" s="10"/>
      <c r="L113" s="193"/>
    </row>
    <row r="114" spans="1:12" s="11" customFormat="1" ht="15.75">
      <c r="A114" s="10"/>
      <c r="L114" s="193"/>
    </row>
    <row r="115" spans="1:12" s="11" customFormat="1" ht="15.75">
      <c r="A115" s="10"/>
      <c r="L115" s="193"/>
    </row>
    <row r="116" spans="1:12" s="11" customFormat="1" ht="15.75">
      <c r="A116" s="10"/>
      <c r="L116" s="193"/>
    </row>
    <row r="117" spans="1:12" s="11" customFormat="1" ht="15.75">
      <c r="A117" s="10"/>
      <c r="L117" s="193"/>
    </row>
    <row r="118" spans="1:12" s="11" customFormat="1" ht="15.75">
      <c r="A118" s="10"/>
      <c r="L118" s="193"/>
    </row>
    <row r="119" spans="1:12" s="11" customFormat="1" ht="15.75">
      <c r="A119" s="10"/>
      <c r="L119" s="193"/>
    </row>
    <row r="120" spans="1:12" s="11" customFormat="1" ht="15.75">
      <c r="A120" s="10"/>
      <c r="L120" s="193"/>
    </row>
    <row r="121" spans="1:12" s="11" customFormat="1" ht="15.75">
      <c r="A121" s="10"/>
      <c r="L121" s="193"/>
    </row>
    <row r="122" spans="1:12" s="11" customFormat="1" ht="15.75">
      <c r="A122" s="10"/>
      <c r="L122" s="193"/>
    </row>
    <row r="123" spans="1:12" s="11" customFormat="1" ht="15.75">
      <c r="A123" s="10"/>
      <c r="L123" s="193"/>
    </row>
    <row r="124" spans="1:12" s="11" customFormat="1" ht="15.75">
      <c r="A124" s="10"/>
      <c r="L124" s="193"/>
    </row>
    <row r="125" spans="1:12" s="11" customFormat="1" ht="15.75">
      <c r="A125" s="10"/>
      <c r="L125" s="193"/>
    </row>
    <row r="126" spans="1:12" s="11" customFormat="1" ht="15.75">
      <c r="A126" s="10"/>
      <c r="L126" s="193"/>
    </row>
    <row r="127" spans="1:12" s="11" customFormat="1" ht="15.75">
      <c r="A127" s="10"/>
      <c r="L127" s="193"/>
    </row>
    <row r="128" spans="1:12" s="11" customFormat="1" ht="15.75">
      <c r="A128" s="10"/>
      <c r="L128" s="193"/>
    </row>
    <row r="129" spans="1:16" s="11" customFormat="1" ht="15.75">
      <c r="A129" s="10"/>
      <c r="L129" s="193"/>
    </row>
    <row r="130" spans="1:16" s="11" customFormat="1" ht="15.75">
      <c r="A130" s="10"/>
      <c r="L130" s="193"/>
    </row>
    <row r="131" spans="1:16" s="11" customFormat="1" ht="15.75">
      <c r="A131" s="10"/>
      <c r="L131" s="193"/>
    </row>
    <row r="132" spans="1:16" s="11" customFormat="1" ht="15.75">
      <c r="A132" s="10"/>
      <c r="L132" s="193"/>
    </row>
    <row r="133" spans="1:16" s="11" customFormat="1" ht="15.75">
      <c r="A133" s="10"/>
      <c r="L133" s="193"/>
    </row>
    <row r="134" spans="1:16" s="11" customFormat="1" ht="15.75">
      <c r="A134" s="10"/>
      <c r="L134" s="193"/>
    </row>
    <row r="135" spans="1:16" s="11" customFormat="1" ht="15.75">
      <c r="A135" s="10"/>
      <c r="L135" s="193"/>
    </row>
    <row r="136" spans="1:16" s="11" customFormat="1" ht="15.75">
      <c r="A136" s="10"/>
      <c r="L136" s="193"/>
    </row>
    <row r="137" spans="1:16" s="11" customFormat="1" ht="15.75">
      <c r="A137" s="10"/>
      <c r="L137" s="193"/>
    </row>
    <row r="138" spans="1:16" s="11" customFormat="1" ht="15.75">
      <c r="A138" s="10"/>
      <c r="L138" s="193"/>
    </row>
    <row r="139" spans="1:16" s="11" customFormat="1" ht="15.75">
      <c r="A139" s="10"/>
      <c r="L139" s="193"/>
    </row>
    <row r="140" spans="1:16" s="11" customFormat="1" ht="15.75">
      <c r="A140" s="10"/>
      <c r="L140" s="193"/>
    </row>
    <row r="141" spans="1:16" s="11" customFormat="1" ht="15.75">
      <c r="A141" s="10"/>
      <c r="L141" s="193"/>
    </row>
    <row r="142" spans="1:16" s="11" customFormat="1" ht="15.75">
      <c r="A142" s="10"/>
      <c r="L142" s="193"/>
    </row>
    <row r="143" spans="1:16" s="11" customFormat="1" ht="18.75" hidden="1">
      <c r="A143" s="10"/>
      <c r="B143" s="15"/>
      <c r="C143" s="16"/>
      <c r="D143" s="15"/>
      <c r="E143" s="17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8"/>
    </row>
    <row r="144" spans="1:16" s="11" customFormat="1" ht="18.75" hidden="1">
      <c r="A144" s="10"/>
      <c r="B144" s="15"/>
      <c r="C144" s="16"/>
      <c r="D144" s="15"/>
      <c r="E144" s="17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8"/>
    </row>
    <row r="145" spans="1:17" s="11" customFormat="1" ht="18.75" hidden="1">
      <c r="A145" s="10"/>
      <c r="B145" s="15"/>
      <c r="C145" s="16"/>
      <c r="D145" s="15"/>
      <c r="E145" s="17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8"/>
    </row>
    <row r="146" spans="1:17" s="11" customFormat="1" ht="18.75" hidden="1">
      <c r="A146" s="10"/>
      <c r="B146" s="15"/>
      <c r="C146" s="16"/>
      <c r="D146" s="15"/>
      <c r="E146" s="17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8"/>
    </row>
    <row r="147" spans="1:17" s="11" customFormat="1" ht="18.75" hidden="1">
      <c r="A147" s="10"/>
      <c r="B147" s="15"/>
      <c r="C147" s="16"/>
      <c r="D147" s="15"/>
      <c r="E147" s="17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8"/>
    </row>
    <row r="148" spans="1:17" s="11" customFormat="1" ht="18.75" hidden="1">
      <c r="A148" s="10"/>
      <c r="B148" s="15"/>
      <c r="C148" s="16"/>
      <c r="D148" s="15"/>
      <c r="E148" s="17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8"/>
    </row>
    <row r="149" spans="1:17" s="11" customFormat="1" ht="18.75" hidden="1">
      <c r="A149" s="10"/>
      <c r="B149" s="15"/>
      <c r="C149" s="16"/>
      <c r="D149" s="15"/>
      <c r="E149" s="17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8"/>
    </row>
    <row r="150" spans="1:17" s="11" customFormat="1" ht="18.75" hidden="1">
      <c r="A150" s="10"/>
      <c r="B150" s="15"/>
      <c r="C150" s="16"/>
      <c r="D150" s="15"/>
      <c r="E150" s="17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8"/>
    </row>
    <row r="151" spans="1:17" s="11" customFormat="1" ht="18.75" hidden="1">
      <c r="A151" s="10"/>
      <c r="B151" s="15"/>
      <c r="C151" s="16"/>
      <c r="D151" s="15"/>
      <c r="E151" s="17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8"/>
    </row>
    <row r="152" spans="1:17" s="11" customFormat="1" ht="18.75" hidden="1">
      <c r="A152" s="10"/>
      <c r="B152" s="15"/>
      <c r="C152" s="16"/>
      <c r="D152" s="15"/>
      <c r="E152" s="17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8"/>
    </row>
    <row r="153" spans="1:17" s="11" customFormat="1" ht="18.75" hidden="1">
      <c r="A153" s="10"/>
      <c r="B153" s="15"/>
      <c r="C153" s="16"/>
      <c r="D153" s="15"/>
      <c r="E153" s="17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8"/>
    </row>
    <row r="154" spans="1:17" s="11" customFormat="1" ht="18.75" hidden="1">
      <c r="A154" s="10"/>
      <c r="B154" s="15"/>
      <c r="C154" s="16"/>
      <c r="D154" s="15"/>
      <c r="E154" s="17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8"/>
    </row>
    <row r="155" spans="1:17" s="11" customFormat="1" ht="18.75" hidden="1">
      <c r="A155" s="10"/>
      <c r="B155" s="15"/>
      <c r="C155" s="16"/>
      <c r="D155" s="15"/>
      <c r="E155" s="17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8"/>
    </row>
    <row r="156" spans="1:17" s="11" customFormat="1" ht="18.75" hidden="1">
      <c r="A156" s="10"/>
      <c r="B156" s="15"/>
      <c r="C156" s="16"/>
      <c r="D156" s="15"/>
      <c r="E156" s="17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8"/>
    </row>
    <row r="157" spans="1:17" s="11" customFormat="1" ht="18.75" hidden="1">
      <c r="A157" s="10"/>
      <c r="B157" s="15"/>
      <c r="C157" s="16"/>
      <c r="D157" s="15"/>
      <c r="E157" s="17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8"/>
    </row>
    <row r="158" spans="1:17" s="11" customFormat="1" ht="18.75" hidden="1">
      <c r="A158" s="10"/>
      <c r="B158" s="15"/>
      <c r="C158" s="16"/>
      <c r="D158" s="15"/>
      <c r="E158" s="17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8"/>
    </row>
    <row r="159" spans="1:17" ht="35.25" customHeight="1"/>
    <row r="160" spans="1:17" s="3" customFormat="1" ht="18.75">
      <c r="A160" s="133"/>
      <c r="L160" s="192"/>
      <c r="Q160" s="4"/>
    </row>
    <row r="161" spans="1:17" s="11" customFormat="1" ht="15.75">
      <c r="A161" s="10"/>
      <c r="L161" s="193"/>
    </row>
    <row r="162" spans="1:17" s="11" customFormat="1" ht="15.75">
      <c r="A162" s="10"/>
      <c r="L162" s="193"/>
    </row>
    <row r="163" spans="1:17" s="11" customFormat="1" ht="15.75">
      <c r="A163" s="10"/>
      <c r="L163" s="193"/>
    </row>
    <row r="164" spans="1:17" s="11" customFormat="1" ht="15.75">
      <c r="A164" s="10"/>
      <c r="L164" s="193"/>
    </row>
    <row r="165" spans="1:17" s="11" customFormat="1" ht="15.75">
      <c r="A165" s="10"/>
      <c r="L165" s="193"/>
    </row>
    <row r="166" spans="1:17" s="11" customFormat="1" ht="15.75">
      <c r="A166" s="10"/>
      <c r="L166" s="193"/>
    </row>
    <row r="167" spans="1:17" s="11" customFormat="1" ht="15.75">
      <c r="A167" s="10"/>
      <c r="L167" s="193"/>
    </row>
    <row r="168" spans="1:17">
      <c r="Q168" s="5"/>
    </row>
    <row r="169" spans="1:17">
      <c r="Q169" s="5"/>
    </row>
    <row r="170" spans="1:17">
      <c r="Q170" s="5"/>
    </row>
    <row r="171" spans="1:17">
      <c r="Q171" s="5"/>
    </row>
    <row r="172" spans="1:17">
      <c r="Q172" s="5"/>
    </row>
    <row r="173" spans="1:17">
      <c r="Q173" s="5"/>
    </row>
    <row r="174" spans="1:17">
      <c r="Q174" s="5"/>
    </row>
    <row r="175" spans="1:17">
      <c r="Q175" s="5"/>
    </row>
    <row r="176" spans="1:17">
      <c r="Q176" s="5"/>
    </row>
    <row r="177" spans="17:17">
      <c r="Q177" s="5"/>
    </row>
    <row r="178" spans="17:17">
      <c r="Q178" s="5"/>
    </row>
    <row r="179" spans="17:17">
      <c r="Q179" s="5"/>
    </row>
    <row r="180" spans="17:17">
      <c r="Q180" s="5"/>
    </row>
    <row r="181" spans="17:17">
      <c r="Q181" s="5"/>
    </row>
    <row r="182" spans="17:17">
      <c r="Q182" s="5"/>
    </row>
    <row r="183" spans="17:17">
      <c r="Q183" s="5"/>
    </row>
    <row r="184" spans="17:17">
      <c r="Q184" s="5"/>
    </row>
    <row r="185" spans="17:17">
      <c r="Q185" s="5"/>
    </row>
    <row r="186" spans="17:17">
      <c r="Q186" s="5"/>
    </row>
    <row r="187" spans="17:17">
      <c r="Q187" s="5"/>
    </row>
    <row r="188" spans="17:17">
      <c r="Q188" s="5"/>
    </row>
    <row r="189" spans="17:17">
      <c r="Q189" s="5"/>
    </row>
    <row r="190" spans="17:17">
      <c r="Q190" s="5"/>
    </row>
    <row r="191" spans="17:17">
      <c r="Q191" s="5"/>
    </row>
    <row r="192" spans="17:17">
      <c r="Q192" s="5"/>
    </row>
    <row r="193" spans="2:17">
      <c r="Q193" s="5"/>
    </row>
    <row r="194" spans="2:17">
      <c r="Q194" s="5"/>
    </row>
    <row r="195" spans="2:17">
      <c r="Q195" s="5"/>
    </row>
    <row r="196" spans="2:17">
      <c r="Q196" s="5"/>
    </row>
    <row r="197" spans="2:17">
      <c r="Q197" s="5"/>
    </row>
    <row r="198" spans="2:17">
      <c r="Q198" s="5"/>
    </row>
    <row r="199" spans="2:17">
      <c r="Q199" s="5"/>
    </row>
    <row r="200" spans="2:17">
      <c r="Q200" s="5"/>
    </row>
    <row r="201" spans="2:17">
      <c r="Q201" s="5"/>
    </row>
    <row r="202" spans="2:17" ht="15.75">
      <c r="B202" s="131">
        <v>33</v>
      </c>
      <c r="C202" s="1"/>
      <c r="D202" s="14"/>
      <c r="E202" s="3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"/>
      <c r="Q202" s="5"/>
    </row>
    <row r="203" spans="2:17" ht="15.75">
      <c r="B203" s="131">
        <v>34</v>
      </c>
      <c r="C203" s="1"/>
      <c r="D203" s="14"/>
      <c r="E203" s="23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"/>
      <c r="Q203" s="5"/>
    </row>
    <row r="204" spans="2:17" ht="15.75">
      <c r="B204" s="131">
        <v>35</v>
      </c>
      <c r="C204" s="1"/>
      <c r="D204" s="14"/>
      <c r="E204" s="23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"/>
      <c r="Q204" s="5"/>
    </row>
    <row r="205" spans="2:17" ht="15.75">
      <c r="B205" s="131">
        <v>36</v>
      </c>
      <c r="C205" s="1"/>
      <c r="D205" s="14"/>
      <c r="E205" s="21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"/>
      <c r="Q205" s="5"/>
    </row>
    <row r="206" spans="2:17" ht="15.75">
      <c r="B206" s="131">
        <v>37</v>
      </c>
      <c r="C206" s="1"/>
      <c r="D206" s="14"/>
      <c r="E206" s="20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"/>
      <c r="Q206" s="5"/>
    </row>
    <row r="207" spans="2:17" ht="15.75">
      <c r="B207" s="131">
        <v>38</v>
      </c>
      <c r="C207" s="1"/>
      <c r="D207" s="14"/>
      <c r="E207" s="20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"/>
      <c r="Q207" s="5"/>
    </row>
    <row r="208" spans="2:17" ht="15.75">
      <c r="B208" s="131">
        <v>39</v>
      </c>
      <c r="C208" s="1"/>
      <c r="D208" s="14"/>
      <c r="E208" s="20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"/>
      <c r="Q208" s="5"/>
    </row>
    <row r="209" spans="2:17" ht="15.75">
      <c r="B209" s="131">
        <v>40</v>
      </c>
      <c r="C209" s="1"/>
      <c r="D209" s="14"/>
      <c r="E209" s="20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"/>
      <c r="Q209" s="5"/>
    </row>
    <row r="210" spans="2:17" ht="15.75">
      <c r="B210" s="131">
        <v>41</v>
      </c>
      <c r="C210" s="1"/>
      <c r="D210" s="14"/>
      <c r="E210" s="20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"/>
      <c r="Q210" s="5"/>
    </row>
    <row r="211" spans="2:17" ht="15.75">
      <c r="B211" s="131">
        <v>42</v>
      </c>
      <c r="C211" s="1"/>
      <c r="D211" s="14"/>
      <c r="E211" s="20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"/>
      <c r="Q211" s="5"/>
    </row>
    <row r="212" spans="2:17" ht="15.75">
      <c r="B212" s="131">
        <v>43</v>
      </c>
      <c r="C212" s="1"/>
      <c r="D212" s="14"/>
      <c r="E212" s="23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"/>
      <c r="Q212" s="5"/>
    </row>
    <row r="213" spans="2:17" ht="15.75">
      <c r="B213" s="131">
        <v>44</v>
      </c>
      <c r="C213" s="1"/>
      <c r="D213" s="14"/>
      <c r="E213" s="23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"/>
      <c r="Q213" s="5"/>
    </row>
    <row r="214" spans="2:17" ht="15.75">
      <c r="B214" s="131">
        <v>45</v>
      </c>
      <c r="C214" s="1"/>
      <c r="D214" s="14"/>
      <c r="E214" s="23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"/>
      <c r="Q214" s="5"/>
    </row>
    <row r="215" spans="2:17" ht="15.75">
      <c r="B215" s="131">
        <v>46</v>
      </c>
      <c r="C215" s="1"/>
      <c r="D215" s="14"/>
      <c r="E215" s="23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"/>
      <c r="Q215" s="5"/>
    </row>
    <row r="216" spans="2:17" ht="15.75">
      <c r="B216" s="131">
        <v>47</v>
      </c>
      <c r="C216" s="1"/>
      <c r="D216" s="14"/>
      <c r="E216" s="23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"/>
      <c r="Q216" s="5"/>
    </row>
    <row r="217" spans="2:17" ht="15.75">
      <c r="B217" s="131">
        <v>48</v>
      </c>
      <c r="C217" s="1"/>
      <c r="D217" s="14"/>
      <c r="E217" s="23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"/>
      <c r="Q217" s="5"/>
    </row>
    <row r="218" spans="2:17" ht="15.75">
      <c r="B218" s="131">
        <v>49</v>
      </c>
      <c r="C218" s="1"/>
      <c r="D218" s="14"/>
      <c r="E218" s="23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"/>
      <c r="Q218" s="5"/>
    </row>
    <row r="219" spans="2:17" ht="15.75">
      <c r="B219" s="131">
        <v>50</v>
      </c>
      <c r="C219" s="1"/>
      <c r="D219" s="14"/>
      <c r="E219" s="23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"/>
      <c r="Q219" s="5"/>
    </row>
    <row r="220" spans="2:17" ht="15.75">
      <c r="B220" s="131">
        <v>51</v>
      </c>
      <c r="C220" s="1"/>
      <c r="D220" s="14"/>
      <c r="E220" s="23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"/>
      <c r="Q220" s="5"/>
    </row>
    <row r="221" spans="2:17" ht="15.75">
      <c r="B221" s="131">
        <v>52</v>
      </c>
      <c r="C221" s="1"/>
      <c r="D221" s="14"/>
      <c r="E221" s="23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"/>
      <c r="Q221" s="5"/>
    </row>
    <row r="222" spans="2:17" ht="15.75">
      <c r="B222" s="131">
        <v>53</v>
      </c>
      <c r="C222" s="1"/>
      <c r="D222" s="14"/>
      <c r="E222" s="23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"/>
      <c r="Q222" s="5"/>
    </row>
    <row r="223" spans="2:17" ht="15.75">
      <c r="B223" s="131">
        <v>54</v>
      </c>
      <c r="C223" s="1"/>
      <c r="D223" s="14"/>
      <c r="E223" s="23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"/>
      <c r="Q223" s="5"/>
    </row>
    <row r="224" spans="2:17" ht="15.75">
      <c r="B224" s="131">
        <v>55</v>
      </c>
      <c r="C224" s="1"/>
      <c r="D224" s="14"/>
      <c r="E224" s="23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"/>
      <c r="Q224" s="5"/>
    </row>
    <row r="225" spans="2:17" ht="15.75">
      <c r="B225" s="131">
        <v>56</v>
      </c>
      <c r="C225" s="1"/>
      <c r="D225" s="14"/>
      <c r="E225" s="23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"/>
      <c r="Q225" s="5"/>
    </row>
    <row r="226" spans="2:17" ht="15.75">
      <c r="B226" s="131">
        <v>57</v>
      </c>
      <c r="C226" s="1"/>
      <c r="D226" s="14"/>
      <c r="E226" s="23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"/>
      <c r="Q226" s="5"/>
    </row>
    <row r="227" spans="2:17" ht="15.75">
      <c r="B227" s="131">
        <v>58</v>
      </c>
      <c r="C227" s="1"/>
      <c r="D227" s="14"/>
      <c r="E227" s="25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"/>
      <c r="Q227" s="5"/>
    </row>
    <row r="228" spans="2:17" ht="15.75">
      <c r="B228" s="131">
        <v>59</v>
      </c>
      <c r="C228" s="1"/>
      <c r="D228" s="14"/>
      <c r="E228" s="19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"/>
      <c r="Q228" s="5"/>
    </row>
    <row r="229" spans="2:17" ht="15.75">
      <c r="B229" s="131">
        <v>60</v>
      </c>
      <c r="C229" s="1"/>
      <c r="D229" s="14"/>
      <c r="E229" s="19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"/>
      <c r="Q229" s="5"/>
    </row>
    <row r="230" spans="2:17" ht="15.75">
      <c r="B230" s="131">
        <v>61</v>
      </c>
      <c r="C230" s="1"/>
      <c r="D230" s="14"/>
      <c r="E230" s="19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"/>
      <c r="Q230" s="5"/>
    </row>
    <row r="231" spans="2:17" ht="15.75">
      <c r="B231" s="131">
        <v>62</v>
      </c>
      <c r="C231" s="1"/>
      <c r="D231" s="14"/>
      <c r="E231" s="19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"/>
      <c r="Q231" s="5"/>
    </row>
    <row r="232" spans="2:17" ht="15.75">
      <c r="B232" s="131">
        <v>63</v>
      </c>
      <c r="C232" s="1"/>
      <c r="D232" s="14"/>
      <c r="E232" s="19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"/>
      <c r="Q232" s="5"/>
    </row>
    <row r="233" spans="2:17" ht="15.75">
      <c r="B233" s="131">
        <v>64</v>
      </c>
      <c r="C233" s="1"/>
      <c r="D233" s="14"/>
      <c r="E233" s="20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"/>
      <c r="Q233" s="5"/>
    </row>
    <row r="234" spans="2:17" ht="15.75">
      <c r="B234" s="131">
        <v>65</v>
      </c>
      <c r="C234" s="1"/>
      <c r="D234" s="14"/>
      <c r="E234" s="21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"/>
      <c r="Q234" s="5"/>
    </row>
    <row r="235" spans="2:17" ht="15.75">
      <c r="B235" s="131">
        <v>66</v>
      </c>
      <c r="C235" s="1"/>
      <c r="D235" s="14"/>
      <c r="E235" s="22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"/>
      <c r="Q235" s="5"/>
    </row>
    <row r="236" spans="2:17" ht="15.75">
      <c r="B236" s="131">
        <v>67</v>
      </c>
      <c r="C236" s="1"/>
      <c r="D236" s="14"/>
      <c r="E236" s="22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"/>
      <c r="Q236" s="5"/>
    </row>
    <row r="237" spans="2:17" ht="15.75">
      <c r="B237" s="131">
        <v>68</v>
      </c>
      <c r="C237" s="1"/>
      <c r="D237" s="14"/>
      <c r="E237" s="22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"/>
      <c r="Q237" s="5"/>
    </row>
    <row r="238" spans="2:17" ht="15.75">
      <c r="B238" s="131">
        <v>69</v>
      </c>
      <c r="C238" s="1"/>
      <c r="D238" s="14"/>
      <c r="E238" s="22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"/>
      <c r="Q238" s="5"/>
    </row>
    <row r="239" spans="2:17" ht="15.75">
      <c r="B239" s="131">
        <v>70</v>
      </c>
      <c r="C239" s="1"/>
      <c r="D239" s="14"/>
      <c r="E239" s="21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"/>
      <c r="Q239" s="5"/>
    </row>
    <row r="240" spans="2:17">
      <c r="B240" s="132"/>
      <c r="C240" s="1"/>
      <c r="D240" s="14"/>
      <c r="E240" s="2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"/>
      <c r="Q240" s="5"/>
    </row>
    <row r="241" spans="2:17">
      <c r="B241" s="132"/>
      <c r="C241" s="1"/>
      <c r="D241" s="14"/>
      <c r="E241" s="20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"/>
      <c r="Q241" s="5"/>
    </row>
    <row r="242" spans="2:17">
      <c r="B242" s="132"/>
      <c r="C242" s="1"/>
      <c r="D242" s="14"/>
      <c r="E242" s="20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"/>
      <c r="Q242" s="5"/>
    </row>
    <row r="243" spans="2:17">
      <c r="B243" s="132"/>
      <c r="C243" s="1"/>
      <c r="D243" s="14"/>
      <c r="E243" s="21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"/>
      <c r="Q243" s="5"/>
    </row>
    <row r="244" spans="2:17">
      <c r="B244" s="132"/>
      <c r="C244" s="1"/>
      <c r="D244" s="14"/>
      <c r="E244" s="22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"/>
      <c r="Q244" s="5"/>
    </row>
    <row r="245" spans="2:17">
      <c r="B245" s="132"/>
      <c r="C245" s="1"/>
      <c r="D245" s="14"/>
      <c r="E245" s="22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"/>
      <c r="Q245" s="5"/>
    </row>
    <row r="246" spans="2:17">
      <c r="B246" s="132"/>
      <c r="C246" s="1"/>
      <c r="D246" s="14"/>
      <c r="E246" s="22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"/>
      <c r="Q246" s="5"/>
    </row>
    <row r="247" spans="2:17">
      <c r="B247" s="132"/>
      <c r="C247" s="1"/>
      <c r="D247" s="14"/>
      <c r="E247" s="22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"/>
      <c r="Q247" s="5"/>
    </row>
    <row r="248" spans="2:17">
      <c r="B248" s="132"/>
      <c r="C248" s="1"/>
      <c r="D248" s="14"/>
      <c r="E248" s="22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"/>
      <c r="Q248" s="5"/>
    </row>
    <row r="249" spans="2:17">
      <c r="B249" s="132"/>
      <c r="C249" s="1"/>
      <c r="D249" s="14"/>
      <c r="E249" s="22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"/>
      <c r="Q249" s="5"/>
    </row>
    <row r="250" spans="2:17">
      <c r="B250" s="132"/>
      <c r="C250" s="1"/>
      <c r="D250" s="14"/>
      <c r="E250" s="22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"/>
      <c r="Q250" s="5"/>
    </row>
    <row r="251" spans="2:17">
      <c r="B251" s="132"/>
      <c r="C251" s="1"/>
      <c r="D251" s="14"/>
      <c r="E251" s="22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"/>
      <c r="Q251" s="5"/>
    </row>
    <row r="252" spans="2:17">
      <c r="B252" s="132"/>
      <c r="C252" s="1"/>
      <c r="D252" s="14"/>
      <c r="E252" s="22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"/>
      <c r="Q252" s="5"/>
    </row>
    <row r="253" spans="2:17">
      <c r="B253" s="132"/>
      <c r="C253" s="1"/>
      <c r="D253" s="14"/>
      <c r="E253" s="22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"/>
      <c r="Q253" s="5"/>
    </row>
    <row r="254" spans="2:17">
      <c r="B254" s="132"/>
      <c r="C254" s="1"/>
      <c r="D254" s="14"/>
      <c r="E254" s="22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"/>
      <c r="Q254" s="5"/>
    </row>
    <row r="255" spans="2:17">
      <c r="B255" s="132"/>
      <c r="C255" s="1"/>
      <c r="D255" s="14"/>
      <c r="E255" s="21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"/>
      <c r="Q255" s="5"/>
    </row>
    <row r="256" spans="2:17">
      <c r="B256" s="132"/>
      <c r="C256" s="1"/>
      <c r="D256" s="14"/>
      <c r="E256" s="22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"/>
      <c r="Q256" s="5"/>
    </row>
    <row r="257" spans="2:17">
      <c r="B257" s="132"/>
      <c r="C257" s="1"/>
      <c r="D257" s="14"/>
      <c r="E257" s="26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"/>
      <c r="Q257" s="5"/>
    </row>
    <row r="258" spans="2:17">
      <c r="B258" s="132"/>
      <c r="C258" s="1"/>
      <c r="D258" s="14"/>
      <c r="E258" s="26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"/>
      <c r="Q258" s="5"/>
    </row>
    <row r="259" spans="2:17">
      <c r="B259" s="132"/>
      <c r="C259" s="1"/>
      <c r="D259" s="14"/>
      <c r="E259" s="22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"/>
      <c r="Q259" s="5"/>
    </row>
    <row r="260" spans="2:17">
      <c r="B260" s="132"/>
      <c r="C260" s="1"/>
      <c r="D260" s="14"/>
      <c r="E260" s="22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"/>
      <c r="Q260" s="5"/>
    </row>
    <row r="261" spans="2:17">
      <c r="B261" s="132"/>
      <c r="C261" s="1"/>
      <c r="D261" s="14"/>
      <c r="E261" s="26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"/>
      <c r="Q261" s="5"/>
    </row>
    <row r="262" spans="2:17">
      <c r="B262" s="132"/>
      <c r="C262" s="1"/>
      <c r="D262" s="14"/>
      <c r="E262" s="26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"/>
      <c r="Q262" s="5"/>
    </row>
    <row r="263" spans="2:17">
      <c r="B263" s="132"/>
      <c r="C263" s="1"/>
      <c r="D263" s="14"/>
      <c r="E263" s="22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"/>
      <c r="Q263" s="5"/>
    </row>
    <row r="264" spans="2:17">
      <c r="B264" s="132"/>
      <c r="C264" s="1"/>
      <c r="D264" s="14"/>
      <c r="E264" s="21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"/>
      <c r="Q264" s="5"/>
    </row>
    <row r="265" spans="2:17">
      <c r="B265" s="132"/>
      <c r="C265" s="1"/>
      <c r="D265" s="14"/>
      <c r="E265" s="19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"/>
      <c r="Q265" s="5"/>
    </row>
    <row r="266" spans="2:17">
      <c r="B266" s="132"/>
      <c r="C266" s="1"/>
      <c r="D266" s="14"/>
      <c r="E266" s="19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"/>
      <c r="Q266" s="5"/>
    </row>
    <row r="267" spans="2:17">
      <c r="B267" s="132"/>
      <c r="C267" s="1"/>
      <c r="D267" s="14"/>
      <c r="E267" s="26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"/>
      <c r="Q267" s="5"/>
    </row>
    <row r="268" spans="2:17">
      <c r="B268" s="132"/>
      <c r="C268" s="1"/>
      <c r="D268" s="14"/>
      <c r="E268" s="26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"/>
      <c r="Q268" s="5"/>
    </row>
    <row r="269" spans="2:17">
      <c r="B269" s="132"/>
      <c r="C269" s="1"/>
      <c r="D269" s="14"/>
      <c r="E269" s="27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"/>
      <c r="Q269" s="5"/>
    </row>
    <row r="270" spans="2:17">
      <c r="B270" s="132"/>
      <c r="C270" s="1"/>
      <c r="D270" s="14"/>
      <c r="E270" s="19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"/>
      <c r="Q270" s="5"/>
    </row>
    <row r="271" spans="2:17">
      <c r="B271" s="132"/>
      <c r="C271" s="1"/>
      <c r="D271" s="14"/>
      <c r="E271" s="26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"/>
      <c r="Q271" s="5"/>
    </row>
    <row r="272" spans="2:17">
      <c r="B272" s="132"/>
      <c r="C272" s="1"/>
      <c r="D272" s="14"/>
      <c r="E272" s="22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"/>
      <c r="Q272" s="5"/>
    </row>
    <row r="273" spans="2:17">
      <c r="B273" s="132"/>
      <c r="C273" s="1"/>
      <c r="D273" s="14"/>
      <c r="E273" s="21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"/>
      <c r="Q273" s="5"/>
    </row>
    <row r="274" spans="2:17">
      <c r="B274" s="132"/>
      <c r="C274" s="1"/>
      <c r="D274" s="14"/>
      <c r="E274" s="22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"/>
      <c r="Q274" s="5"/>
    </row>
    <row r="275" spans="2:17">
      <c r="B275" s="132"/>
      <c r="C275" s="1"/>
      <c r="D275" s="14"/>
      <c r="E275" s="22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"/>
      <c r="Q275" s="5"/>
    </row>
    <row r="276" spans="2:17">
      <c r="B276" s="132"/>
      <c r="C276" s="1"/>
      <c r="D276" s="14"/>
      <c r="E276" s="22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"/>
      <c r="Q276" s="5"/>
    </row>
    <row r="277" spans="2:17">
      <c r="B277" s="132"/>
      <c r="C277" s="1"/>
      <c r="D277" s="14"/>
      <c r="E277" s="22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"/>
      <c r="Q277" s="5"/>
    </row>
    <row r="278" spans="2:17">
      <c r="B278" s="132"/>
      <c r="C278" s="1"/>
      <c r="D278" s="14"/>
      <c r="E278" s="22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"/>
      <c r="Q278" s="5"/>
    </row>
    <row r="279" spans="2:17">
      <c r="B279" s="132"/>
      <c r="C279" s="1"/>
      <c r="D279" s="14"/>
      <c r="E279" s="22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"/>
      <c r="Q279" s="5"/>
    </row>
    <row r="280" spans="2:17">
      <c r="B280" s="132"/>
      <c r="C280" s="1"/>
      <c r="D280" s="14"/>
      <c r="E280" s="22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"/>
      <c r="Q280" s="5"/>
    </row>
    <row r="281" spans="2:17">
      <c r="B281" s="132"/>
      <c r="C281" s="1"/>
      <c r="D281" s="14"/>
      <c r="E281" s="22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"/>
      <c r="Q281" s="5"/>
    </row>
    <row r="282" spans="2:17">
      <c r="B282" s="132"/>
      <c r="C282" s="1"/>
      <c r="D282" s="14"/>
      <c r="E282" s="22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"/>
      <c r="Q282" s="5"/>
    </row>
    <row r="283" spans="2:17">
      <c r="B283" s="132"/>
      <c r="C283" s="1"/>
      <c r="D283" s="14"/>
      <c r="E283" s="22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"/>
      <c r="Q283" s="5"/>
    </row>
    <row r="284" spans="2:17">
      <c r="B284" s="132"/>
      <c r="C284" s="1"/>
      <c r="D284" s="14"/>
      <c r="E284" s="22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"/>
      <c r="Q284" s="5"/>
    </row>
    <row r="285" spans="2:17">
      <c r="B285" s="132"/>
      <c r="C285" s="1"/>
      <c r="D285" s="14"/>
      <c r="E285" s="22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"/>
      <c r="Q285" s="5"/>
    </row>
    <row r="286" spans="2:17">
      <c r="B286" s="132"/>
      <c r="C286" s="1"/>
      <c r="D286" s="14"/>
      <c r="E286" s="22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"/>
      <c r="Q286" s="5"/>
    </row>
    <row r="287" spans="2:17">
      <c r="B287" s="132"/>
      <c r="C287" s="1"/>
      <c r="D287" s="14"/>
      <c r="E287" s="22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"/>
      <c r="Q287" s="5"/>
    </row>
    <row r="288" spans="2:17">
      <c r="B288" s="132"/>
      <c r="C288" s="1"/>
      <c r="D288" s="14"/>
      <c r="E288" s="22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"/>
      <c r="Q288" s="5"/>
    </row>
    <row r="289" spans="2:17">
      <c r="B289" s="132"/>
      <c r="C289" s="1"/>
      <c r="D289" s="14"/>
      <c r="E289" s="22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"/>
      <c r="Q289" s="5"/>
    </row>
    <row r="290" spans="2:17">
      <c r="B290" s="132"/>
      <c r="C290" s="1"/>
      <c r="D290" s="14"/>
      <c r="E290" s="22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"/>
      <c r="Q290" s="5"/>
    </row>
    <row r="291" spans="2:17">
      <c r="B291" s="132"/>
      <c r="C291" s="1"/>
      <c r="D291" s="14"/>
      <c r="E291" s="22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"/>
      <c r="Q291" s="5"/>
    </row>
    <row r="292" spans="2:17">
      <c r="B292" s="132"/>
      <c r="C292" s="1"/>
      <c r="D292" s="14"/>
      <c r="E292" s="22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"/>
      <c r="Q292" s="5"/>
    </row>
    <row r="293" spans="2:17">
      <c r="B293" s="132"/>
      <c r="C293" s="1"/>
      <c r="D293" s="14"/>
      <c r="E293" s="22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"/>
      <c r="Q293" s="5"/>
    </row>
    <row r="294" spans="2:17">
      <c r="B294" s="132"/>
      <c r="C294" s="1"/>
      <c r="D294" s="14"/>
      <c r="E294" s="22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"/>
      <c r="Q294" s="5"/>
    </row>
    <row r="295" spans="2:17">
      <c r="B295" s="132"/>
      <c r="C295" s="1"/>
      <c r="D295" s="14"/>
      <c r="E295" s="22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"/>
      <c r="Q295" s="5"/>
    </row>
    <row r="296" spans="2:17">
      <c r="B296" s="132"/>
      <c r="C296" s="1"/>
      <c r="D296" s="14"/>
      <c r="E296" s="22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"/>
      <c r="Q296" s="5"/>
    </row>
    <row r="297" spans="2:17">
      <c r="B297" s="132"/>
      <c r="C297" s="1"/>
      <c r="D297" s="14"/>
      <c r="E297" s="22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"/>
      <c r="Q297" s="5"/>
    </row>
    <row r="298" spans="2:17">
      <c r="B298" s="132"/>
      <c r="C298" s="1"/>
      <c r="D298" s="14"/>
      <c r="E298" s="22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"/>
      <c r="Q298" s="5"/>
    </row>
    <row r="299" spans="2:17">
      <c r="B299" s="132"/>
      <c r="C299" s="1"/>
      <c r="D299" s="14"/>
      <c r="E299" s="22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"/>
      <c r="Q299" s="5"/>
    </row>
    <row r="300" spans="2:17">
      <c r="B300" s="132"/>
      <c r="C300" s="1"/>
      <c r="D300" s="14"/>
      <c r="E300" s="19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"/>
      <c r="Q300" s="5"/>
    </row>
    <row r="301" spans="2:17">
      <c r="B301" s="132"/>
      <c r="C301" s="1"/>
      <c r="D301" s="14"/>
      <c r="E301" s="19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"/>
      <c r="Q301" s="5"/>
    </row>
    <row r="302" spans="2:17">
      <c r="B302" s="132"/>
      <c r="C302" s="1"/>
      <c r="D302" s="14"/>
      <c r="E302" s="19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"/>
      <c r="Q302" s="5"/>
    </row>
    <row r="303" spans="2:17">
      <c r="B303" s="132"/>
      <c r="C303" s="1"/>
      <c r="D303" s="14"/>
      <c r="E303" s="19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"/>
      <c r="Q303" s="5"/>
    </row>
    <row r="304" spans="2:17">
      <c r="B304" s="132"/>
      <c r="C304" s="1"/>
      <c r="D304" s="14"/>
      <c r="E304" s="19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"/>
      <c r="Q304" s="5"/>
    </row>
    <row r="305" spans="2:17">
      <c r="B305" s="132"/>
      <c r="C305" s="1"/>
      <c r="D305" s="14"/>
      <c r="E305" s="19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"/>
      <c r="Q305" s="5"/>
    </row>
    <row r="306" spans="2:17">
      <c r="B306" s="132"/>
      <c r="C306" s="1"/>
      <c r="D306" s="14"/>
      <c r="E306" s="19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"/>
      <c r="Q306" s="5"/>
    </row>
    <row r="307" spans="2:17">
      <c r="B307" s="132"/>
      <c r="C307" s="1"/>
      <c r="D307" s="14"/>
      <c r="E307" s="19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"/>
      <c r="Q307" s="5"/>
    </row>
    <row r="308" spans="2:17">
      <c r="B308" s="132"/>
      <c r="C308" s="1"/>
      <c r="D308" s="14"/>
      <c r="E308" s="19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"/>
      <c r="Q308" s="5"/>
    </row>
    <row r="309" spans="2:17">
      <c r="B309" s="132"/>
      <c r="C309" s="1"/>
      <c r="D309" s="14"/>
      <c r="E309" s="19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"/>
      <c r="Q309" s="5"/>
    </row>
    <row r="310" spans="2:17">
      <c r="B310" s="132"/>
      <c r="C310" s="1"/>
      <c r="D310" s="14"/>
      <c r="E310" s="19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"/>
      <c r="Q310" s="5"/>
    </row>
    <row r="311" spans="2:17">
      <c r="B311" s="132"/>
      <c r="C311" s="1"/>
      <c r="D311" s="14"/>
      <c r="E311" s="22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"/>
      <c r="Q311" s="5"/>
    </row>
    <row r="312" spans="2:17">
      <c r="B312" s="132"/>
      <c r="C312" s="1"/>
      <c r="D312" s="14"/>
      <c r="E312" s="19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"/>
      <c r="Q312" s="5"/>
    </row>
    <row r="313" spans="2:17">
      <c r="B313" s="132"/>
      <c r="C313" s="1"/>
      <c r="D313" s="14"/>
      <c r="E313" s="19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"/>
      <c r="Q313" s="5"/>
    </row>
    <row r="314" spans="2:17">
      <c r="B314" s="132"/>
      <c r="C314" s="1"/>
      <c r="D314" s="14"/>
      <c r="E314" s="19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"/>
      <c r="Q314" s="5"/>
    </row>
    <row r="315" spans="2:17">
      <c r="B315" s="132"/>
      <c r="C315" s="1"/>
      <c r="D315" s="14"/>
      <c r="E315" s="19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"/>
      <c r="Q315" s="5"/>
    </row>
    <row r="316" spans="2:17">
      <c r="B316" s="132"/>
      <c r="C316" s="1"/>
      <c r="D316" s="14"/>
      <c r="E316" s="19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"/>
      <c r="Q316" s="5"/>
    </row>
    <row r="317" spans="2:17">
      <c r="B317" s="132"/>
      <c r="C317" s="1"/>
      <c r="D317" s="14"/>
      <c r="E317" s="19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"/>
      <c r="Q317" s="5"/>
    </row>
    <row r="318" spans="2:17">
      <c r="B318" s="132"/>
      <c r="C318" s="1"/>
      <c r="D318" s="14"/>
      <c r="E318" s="19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"/>
      <c r="Q318" s="5"/>
    </row>
    <row r="319" spans="2:17">
      <c r="B319" s="132"/>
      <c r="C319" s="1"/>
      <c r="D319" s="14"/>
      <c r="E319" s="19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"/>
      <c r="Q319" s="5"/>
    </row>
    <row r="320" spans="2:17">
      <c r="B320" s="132"/>
      <c r="C320" s="1"/>
      <c r="D320" s="14"/>
      <c r="E320" s="19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"/>
      <c r="Q320" s="5"/>
    </row>
    <row r="321" spans="2:17">
      <c r="B321" s="132"/>
      <c r="C321" s="1"/>
      <c r="D321" s="14"/>
      <c r="E321" s="19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"/>
      <c r="Q321" s="5"/>
    </row>
    <row r="322" spans="2:17">
      <c r="B322" s="132"/>
      <c r="C322" s="1"/>
      <c r="D322" s="14"/>
      <c r="E322" s="19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"/>
      <c r="Q322" s="5"/>
    </row>
    <row r="323" spans="2:17">
      <c r="B323" s="132"/>
      <c r="C323" s="1"/>
      <c r="D323" s="14"/>
      <c r="E323" s="19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"/>
      <c r="Q323" s="5"/>
    </row>
    <row r="324" spans="2:17">
      <c r="B324" s="132"/>
      <c r="C324" s="1"/>
      <c r="D324" s="14"/>
      <c r="E324" s="19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"/>
      <c r="Q324" s="5"/>
    </row>
    <row r="325" spans="2:17">
      <c r="B325" s="132"/>
      <c r="C325" s="1"/>
      <c r="D325" s="14"/>
      <c r="E325" s="19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"/>
      <c r="Q325" s="5"/>
    </row>
    <row r="326" spans="2:17">
      <c r="B326" s="132"/>
      <c r="C326" s="1"/>
      <c r="D326" s="14"/>
      <c r="E326" s="19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"/>
      <c r="Q326" s="5"/>
    </row>
    <row r="327" spans="2:17">
      <c r="B327" s="132"/>
      <c r="C327" s="1"/>
      <c r="D327" s="14"/>
      <c r="E327" s="19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"/>
      <c r="Q327" s="5"/>
    </row>
    <row r="328" spans="2:17">
      <c r="B328" s="132"/>
      <c r="C328" s="1"/>
      <c r="D328" s="14"/>
      <c r="E328" s="19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"/>
      <c r="Q328" s="5"/>
    </row>
    <row r="329" spans="2:17">
      <c r="B329" s="132"/>
      <c r="C329" s="1"/>
      <c r="D329" s="14"/>
      <c r="E329" s="19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"/>
      <c r="Q329" s="5"/>
    </row>
    <row r="330" spans="2:17">
      <c r="B330" s="132"/>
      <c r="C330" s="1"/>
      <c r="D330" s="14"/>
      <c r="E330" s="19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"/>
      <c r="Q330" s="5"/>
    </row>
    <row r="331" spans="2:17">
      <c r="B331" s="132"/>
      <c r="C331" s="1"/>
      <c r="D331" s="14"/>
      <c r="E331" s="19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"/>
      <c r="Q331" s="5"/>
    </row>
    <row r="332" spans="2:17">
      <c r="B332" s="132"/>
      <c r="C332" s="1"/>
      <c r="D332" s="14"/>
      <c r="E332" s="19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"/>
      <c r="Q332" s="5"/>
    </row>
    <row r="333" spans="2:17">
      <c r="B333" s="132"/>
      <c r="C333" s="1"/>
      <c r="D333" s="14"/>
      <c r="E333" s="19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"/>
      <c r="Q333" s="5"/>
    </row>
    <row r="334" spans="2:17">
      <c r="B334" s="132"/>
      <c r="C334" s="1"/>
      <c r="D334" s="14"/>
      <c r="E334" s="19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"/>
      <c r="Q334" s="5"/>
    </row>
    <row r="335" spans="2:17">
      <c r="B335" s="132"/>
      <c r="C335" s="1"/>
      <c r="D335" s="14"/>
      <c r="E335" s="19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"/>
      <c r="Q335" s="5"/>
    </row>
    <row r="336" spans="2:17">
      <c r="B336" s="132"/>
      <c r="C336" s="1"/>
      <c r="D336" s="14"/>
      <c r="E336" s="19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"/>
      <c r="Q336" s="5"/>
    </row>
    <row r="337" spans="2:17">
      <c r="B337" s="132"/>
      <c r="C337" s="1"/>
      <c r="D337" s="14"/>
      <c r="E337" s="19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"/>
      <c r="Q337" s="5"/>
    </row>
    <row r="338" spans="2:17">
      <c r="B338" s="132"/>
      <c r="C338" s="1"/>
      <c r="D338" s="14"/>
      <c r="E338" s="19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"/>
      <c r="Q338" s="5"/>
    </row>
    <row r="339" spans="2:17">
      <c r="B339" s="132"/>
      <c r="C339" s="1"/>
      <c r="D339" s="14"/>
      <c r="E339" s="19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"/>
      <c r="Q339" s="5"/>
    </row>
    <row r="340" spans="2:17">
      <c r="B340" s="132"/>
      <c r="C340" s="1"/>
      <c r="D340" s="14"/>
      <c r="E340" s="22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"/>
      <c r="Q340" s="5"/>
    </row>
    <row r="341" spans="2:17">
      <c r="B341" s="132"/>
      <c r="C341" s="1"/>
      <c r="D341" s="14"/>
      <c r="E341" s="19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"/>
      <c r="Q341" s="5"/>
    </row>
    <row r="342" spans="2:17">
      <c r="B342" s="132"/>
      <c r="C342" s="1"/>
      <c r="D342" s="14"/>
      <c r="E342" s="19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"/>
      <c r="Q342" s="5"/>
    </row>
    <row r="343" spans="2:17">
      <c r="B343" s="132"/>
      <c r="C343" s="1"/>
      <c r="D343" s="14"/>
      <c r="E343" s="19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"/>
      <c r="Q343" s="5"/>
    </row>
    <row r="344" spans="2:17">
      <c r="B344" s="132"/>
      <c r="C344" s="1"/>
      <c r="D344" s="14"/>
      <c r="E344" s="19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"/>
      <c r="Q344" s="5"/>
    </row>
    <row r="345" spans="2:17">
      <c r="B345" s="132"/>
      <c r="C345" s="1"/>
      <c r="D345" s="14"/>
      <c r="E345" s="19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"/>
      <c r="Q345" s="5"/>
    </row>
    <row r="346" spans="2:17">
      <c r="B346" s="132"/>
      <c r="C346" s="1"/>
      <c r="D346" s="14"/>
      <c r="E346" s="19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"/>
      <c r="Q346" s="5"/>
    </row>
    <row r="347" spans="2:17">
      <c r="B347" s="132"/>
      <c r="C347" s="1"/>
      <c r="D347" s="14"/>
      <c r="E347" s="19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"/>
      <c r="Q347" s="5"/>
    </row>
    <row r="348" spans="2:17">
      <c r="B348" s="132"/>
      <c r="C348" s="1"/>
      <c r="D348" s="14"/>
      <c r="E348" s="19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"/>
      <c r="Q348" s="5"/>
    </row>
    <row r="349" spans="2:17">
      <c r="B349" s="132"/>
      <c r="C349" s="1"/>
      <c r="D349" s="14"/>
      <c r="E349" s="19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"/>
      <c r="Q349" s="5"/>
    </row>
    <row r="350" spans="2:17">
      <c r="B350" s="132"/>
      <c r="C350" s="1"/>
      <c r="D350" s="14"/>
      <c r="E350" s="19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"/>
      <c r="Q350" s="5"/>
    </row>
    <row r="351" spans="2:17">
      <c r="B351" s="132"/>
      <c r="C351" s="1"/>
      <c r="D351" s="14"/>
      <c r="E351" s="22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"/>
      <c r="Q351" s="5"/>
    </row>
    <row r="352" spans="2:17">
      <c r="B352" s="132"/>
      <c r="C352" s="1"/>
      <c r="D352" s="14"/>
      <c r="E352" s="19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"/>
      <c r="Q352" s="5"/>
    </row>
    <row r="353" spans="2:17">
      <c r="B353" s="132"/>
      <c r="C353" s="1"/>
      <c r="D353" s="14"/>
      <c r="E353" s="19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"/>
      <c r="Q353" s="5"/>
    </row>
    <row r="354" spans="2:17">
      <c r="B354" s="132"/>
      <c r="C354" s="1"/>
      <c r="D354" s="14"/>
      <c r="E354" s="19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"/>
      <c r="Q354" s="5"/>
    </row>
    <row r="355" spans="2:17">
      <c r="B355" s="132"/>
      <c r="C355" s="1"/>
      <c r="D355" s="14"/>
      <c r="E355" s="19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"/>
      <c r="Q355" s="5"/>
    </row>
    <row r="356" spans="2:17">
      <c r="B356" s="132"/>
      <c r="C356" s="1"/>
      <c r="D356" s="14"/>
      <c r="E356" s="19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"/>
      <c r="Q356" s="5"/>
    </row>
    <row r="357" spans="2:17">
      <c r="B357" s="132"/>
      <c r="C357" s="1"/>
      <c r="D357" s="14"/>
      <c r="E357" s="19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"/>
      <c r="Q357" s="5"/>
    </row>
    <row r="358" spans="2:17">
      <c r="B358" s="132"/>
      <c r="C358" s="1"/>
      <c r="D358" s="14"/>
      <c r="E358" s="19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"/>
      <c r="Q358" s="5"/>
    </row>
    <row r="359" spans="2:17">
      <c r="B359" s="132"/>
      <c r="C359" s="1"/>
      <c r="D359" s="14"/>
      <c r="E359" s="19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"/>
      <c r="Q359" s="5"/>
    </row>
    <row r="360" spans="2:17">
      <c r="B360" s="132"/>
      <c r="C360" s="1"/>
      <c r="D360" s="14"/>
      <c r="E360" s="19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"/>
      <c r="Q360" s="5"/>
    </row>
    <row r="361" spans="2:17">
      <c r="B361" s="132"/>
      <c r="C361" s="1"/>
      <c r="D361" s="14"/>
      <c r="E361" s="19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"/>
      <c r="Q361" s="5"/>
    </row>
    <row r="362" spans="2:17">
      <c r="B362" s="132"/>
      <c r="C362" s="1"/>
      <c r="D362" s="14"/>
      <c r="E362" s="19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"/>
      <c r="Q362" s="5"/>
    </row>
    <row r="363" spans="2:17">
      <c r="B363" s="132"/>
      <c r="C363" s="1"/>
      <c r="D363" s="14"/>
      <c r="E363" s="19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"/>
      <c r="Q363" s="5"/>
    </row>
    <row r="364" spans="2:17">
      <c r="B364" s="132"/>
      <c r="C364" s="1"/>
      <c r="D364" s="14"/>
      <c r="E364" s="22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"/>
      <c r="Q364" s="5"/>
    </row>
    <row r="365" spans="2:17">
      <c r="B365" s="132"/>
      <c r="C365" s="1"/>
      <c r="D365" s="14"/>
      <c r="E365" s="19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"/>
      <c r="Q365" s="5"/>
    </row>
    <row r="366" spans="2:17">
      <c r="B366" s="132"/>
      <c r="C366" s="1"/>
      <c r="D366" s="14"/>
      <c r="E366" s="19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"/>
      <c r="Q366" s="5"/>
    </row>
    <row r="367" spans="2:17">
      <c r="B367" s="132"/>
      <c r="C367" s="1"/>
      <c r="D367" s="14"/>
      <c r="E367" s="22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"/>
      <c r="Q367" s="5"/>
    </row>
    <row r="368" spans="2:17">
      <c r="B368" s="132"/>
      <c r="C368" s="1"/>
      <c r="D368" s="14"/>
      <c r="E368" s="19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"/>
      <c r="Q368" s="5"/>
    </row>
    <row r="369" spans="2:17">
      <c r="B369" s="132"/>
      <c r="C369" s="1"/>
      <c r="D369" s="14"/>
      <c r="E369" s="19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"/>
      <c r="Q369" s="5"/>
    </row>
    <row r="370" spans="2:17">
      <c r="B370" s="132"/>
      <c r="C370" s="1"/>
      <c r="D370" s="14"/>
      <c r="E370" s="22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"/>
      <c r="Q370" s="5"/>
    </row>
    <row r="371" spans="2:17">
      <c r="B371" s="132"/>
      <c r="C371" s="1"/>
      <c r="D371" s="14"/>
      <c r="E371" s="22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"/>
      <c r="Q371" s="5"/>
    </row>
    <row r="372" spans="2:17">
      <c r="B372" s="132"/>
      <c r="C372" s="1"/>
      <c r="D372" s="14"/>
      <c r="E372" s="22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"/>
      <c r="Q372" s="5"/>
    </row>
    <row r="373" spans="2:17">
      <c r="B373" s="132"/>
      <c r="C373" s="1"/>
      <c r="D373" s="14"/>
      <c r="E373" s="22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"/>
      <c r="Q373" s="5"/>
    </row>
    <row r="374" spans="2:17">
      <c r="B374" s="132"/>
      <c r="C374" s="1"/>
      <c r="D374" s="14"/>
      <c r="E374" s="22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"/>
      <c r="Q374" s="5"/>
    </row>
    <row r="375" spans="2:17">
      <c r="B375" s="132"/>
      <c r="C375" s="1"/>
      <c r="D375" s="14"/>
      <c r="E375" s="28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"/>
      <c r="Q375" s="5"/>
    </row>
    <row r="376" spans="2:17">
      <c r="B376" s="132"/>
      <c r="C376" s="1"/>
      <c r="D376" s="14"/>
      <c r="E376" s="28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"/>
      <c r="Q376" s="5"/>
    </row>
    <row r="377" spans="2:17">
      <c r="B377" s="132"/>
      <c r="C377" s="1"/>
      <c r="D377" s="14"/>
      <c r="E377" s="28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"/>
      <c r="Q377" s="5"/>
    </row>
    <row r="378" spans="2:17">
      <c r="B378" s="132"/>
      <c r="C378" s="1"/>
      <c r="D378" s="14"/>
      <c r="E378" s="28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"/>
      <c r="Q378" s="5"/>
    </row>
    <row r="379" spans="2:17">
      <c r="B379" s="132"/>
      <c r="C379" s="1"/>
      <c r="D379" s="14"/>
      <c r="E379" s="22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"/>
      <c r="Q379" s="5"/>
    </row>
    <row r="380" spans="2:17">
      <c r="B380" s="132"/>
      <c r="C380" s="1"/>
      <c r="D380" s="14"/>
      <c r="E380" s="22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"/>
      <c r="Q380" s="5"/>
    </row>
    <row r="381" spans="2:17">
      <c r="B381" s="132"/>
      <c r="C381" s="1"/>
      <c r="D381" s="14"/>
      <c r="E381" s="22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"/>
      <c r="Q381" s="5"/>
    </row>
    <row r="382" spans="2:17">
      <c r="B382" s="132"/>
      <c r="C382" s="1"/>
      <c r="D382" s="14"/>
      <c r="E382" s="22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"/>
      <c r="Q382" s="5"/>
    </row>
    <row r="383" spans="2:17">
      <c r="B383" s="132"/>
      <c r="C383" s="1"/>
      <c r="D383" s="14"/>
      <c r="E383" s="22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"/>
      <c r="Q383" s="5"/>
    </row>
    <row r="384" spans="2:17">
      <c r="B384" s="132"/>
      <c r="C384" s="1"/>
      <c r="D384" s="14"/>
      <c r="E384" s="29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"/>
      <c r="Q384" s="5"/>
    </row>
    <row r="385" spans="2:17">
      <c r="B385" s="132"/>
      <c r="C385" s="1"/>
      <c r="D385" s="14"/>
      <c r="E385" s="29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"/>
      <c r="Q385" s="5"/>
    </row>
    <row r="386" spans="2:17">
      <c r="B386" s="132"/>
      <c r="C386" s="1"/>
      <c r="D386" s="14"/>
      <c r="E386" s="29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"/>
      <c r="Q386" s="5"/>
    </row>
    <row r="387" spans="2:17">
      <c r="B387" s="132"/>
      <c r="C387" s="1"/>
      <c r="D387" s="14"/>
      <c r="E387" s="29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"/>
      <c r="Q387" s="5"/>
    </row>
    <row r="388" spans="2:17">
      <c r="B388" s="132"/>
      <c r="C388" s="1"/>
      <c r="D388" s="14"/>
      <c r="E388" s="29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"/>
      <c r="Q388" s="5"/>
    </row>
    <row r="389" spans="2:17">
      <c r="B389" s="132"/>
      <c r="C389" s="1"/>
      <c r="D389" s="14"/>
      <c r="E389" s="30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"/>
      <c r="Q389" s="5"/>
    </row>
    <row r="390" spans="2:17">
      <c r="B390" s="132"/>
      <c r="C390" s="1"/>
      <c r="D390" s="14"/>
      <c r="E390" s="29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"/>
      <c r="Q390" s="5"/>
    </row>
    <row r="391" spans="2:17">
      <c r="B391" s="132"/>
      <c r="C391" s="1"/>
      <c r="D391" s="14"/>
      <c r="E391" s="30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"/>
      <c r="Q391" s="5"/>
    </row>
    <row r="392" spans="2:17">
      <c r="B392" s="132"/>
      <c r="C392" s="1"/>
      <c r="D392" s="14"/>
      <c r="E392" s="29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"/>
      <c r="Q392" s="5"/>
    </row>
    <row r="393" spans="2:17">
      <c r="B393" s="132"/>
      <c r="C393" s="1"/>
      <c r="D393" s="14"/>
      <c r="E393" s="30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"/>
      <c r="Q393" s="5"/>
    </row>
    <row r="394" spans="2:17">
      <c r="B394" s="132"/>
      <c r="C394" s="1"/>
      <c r="D394" s="14"/>
      <c r="E394" s="31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"/>
      <c r="Q394" s="5"/>
    </row>
    <row r="395" spans="2:17">
      <c r="B395" s="132"/>
      <c r="C395" s="1"/>
      <c r="D395" s="14"/>
      <c r="E395" s="32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"/>
      <c r="Q395" s="5"/>
    </row>
    <row r="396" spans="2:17">
      <c r="B396" s="132"/>
      <c r="C396" s="1"/>
      <c r="D396" s="14"/>
      <c r="E396" s="31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"/>
      <c r="Q396" s="5"/>
    </row>
    <row r="397" spans="2:17">
      <c r="B397" s="132"/>
      <c r="C397" s="1"/>
      <c r="D397" s="14"/>
      <c r="E397" s="31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"/>
      <c r="Q397" s="5"/>
    </row>
    <row r="398" spans="2:17">
      <c r="B398" s="132"/>
      <c r="C398" s="1"/>
      <c r="D398" s="14"/>
      <c r="E398" s="31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"/>
      <c r="Q398" s="5"/>
    </row>
    <row r="399" spans="2:17">
      <c r="B399" s="132"/>
      <c r="C399" s="1"/>
      <c r="D399" s="14"/>
      <c r="E399" s="31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"/>
      <c r="Q399" s="5"/>
    </row>
    <row r="400" spans="2:17">
      <c r="B400" s="132"/>
      <c r="C400" s="1"/>
      <c r="D400" s="14"/>
      <c r="E400" s="31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"/>
      <c r="Q400" s="5"/>
    </row>
    <row r="401" spans="2:17">
      <c r="B401" s="132"/>
      <c r="C401" s="1"/>
      <c r="D401" s="14"/>
      <c r="E401" s="32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"/>
      <c r="Q401" s="5"/>
    </row>
    <row r="402" spans="2:17">
      <c r="B402" s="132"/>
      <c r="C402" s="1"/>
      <c r="D402" s="14"/>
      <c r="E402" s="31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"/>
      <c r="Q402" s="5"/>
    </row>
    <row r="403" spans="2:17">
      <c r="B403" s="132"/>
      <c r="C403" s="1"/>
      <c r="D403" s="14"/>
      <c r="E403" s="31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"/>
      <c r="Q403" s="5"/>
    </row>
    <row r="404" spans="2:17">
      <c r="B404" s="132"/>
      <c r="C404" s="1"/>
      <c r="D404" s="14"/>
      <c r="E404" s="31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"/>
      <c r="Q404" s="5"/>
    </row>
    <row r="405" spans="2:17">
      <c r="B405" s="132"/>
      <c r="C405" s="1"/>
      <c r="D405" s="14"/>
      <c r="E405" s="31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"/>
      <c r="Q405" s="5"/>
    </row>
    <row r="406" spans="2:17">
      <c r="B406" s="132"/>
      <c r="C406" s="1"/>
      <c r="D406" s="14"/>
      <c r="E406" s="31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"/>
      <c r="Q406" s="5"/>
    </row>
    <row r="407" spans="2:17">
      <c r="B407" s="132"/>
      <c r="C407" s="1"/>
      <c r="D407" s="14"/>
      <c r="E407" s="31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"/>
      <c r="Q407" s="5"/>
    </row>
    <row r="408" spans="2:17">
      <c r="B408" s="132"/>
      <c r="C408" s="1"/>
      <c r="D408" s="14"/>
      <c r="E408" s="31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"/>
      <c r="Q408" s="5"/>
    </row>
    <row r="409" spans="2:17">
      <c r="B409" s="132"/>
      <c r="C409" s="1"/>
      <c r="D409" s="14"/>
      <c r="E409" s="31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"/>
      <c r="Q409" s="5"/>
    </row>
    <row r="410" spans="2:17">
      <c r="B410" s="132"/>
      <c r="C410" s="1"/>
      <c r="D410" s="14"/>
      <c r="E410" s="31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"/>
      <c r="Q410" s="5"/>
    </row>
    <row r="411" spans="2:17">
      <c r="B411" s="132"/>
      <c r="C411" s="1"/>
      <c r="D411" s="14"/>
      <c r="E411" s="31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"/>
      <c r="Q411" s="5"/>
    </row>
    <row r="412" spans="2:17">
      <c r="B412" s="132"/>
      <c r="C412" s="1"/>
      <c r="D412" s="14"/>
      <c r="E412" s="31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"/>
      <c r="Q412" s="5"/>
    </row>
    <row r="413" spans="2:17">
      <c r="B413" s="132"/>
      <c r="C413" s="1"/>
      <c r="D413" s="14"/>
      <c r="E413" s="31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"/>
      <c r="Q413" s="5"/>
    </row>
    <row r="414" spans="2:17">
      <c r="B414" s="132"/>
      <c r="C414" s="1"/>
      <c r="D414" s="14"/>
      <c r="E414" s="31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"/>
      <c r="Q414" s="5"/>
    </row>
    <row r="415" spans="2:17">
      <c r="B415" s="132"/>
      <c r="C415" s="1"/>
      <c r="D415" s="14"/>
      <c r="E415" s="32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"/>
      <c r="Q415" s="5"/>
    </row>
    <row r="416" spans="2:17">
      <c r="B416" s="132"/>
      <c r="C416" s="1"/>
      <c r="D416" s="14"/>
      <c r="E416" s="32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"/>
      <c r="Q416" s="5"/>
    </row>
    <row r="417" spans="2:17">
      <c r="B417" s="132"/>
      <c r="C417" s="1"/>
      <c r="D417" s="14"/>
      <c r="E417" s="31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"/>
      <c r="Q417" s="5"/>
    </row>
    <row r="418" spans="2:17">
      <c r="B418" s="132"/>
      <c r="C418" s="1"/>
      <c r="D418" s="14"/>
      <c r="E418" s="31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"/>
      <c r="Q418" s="5"/>
    </row>
    <row r="419" spans="2:17">
      <c r="B419" s="132"/>
      <c r="C419" s="1"/>
      <c r="D419" s="14"/>
      <c r="E419" s="31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"/>
      <c r="Q419" s="5"/>
    </row>
    <row r="420" spans="2:17">
      <c r="B420" s="132"/>
      <c r="C420" s="1"/>
      <c r="D420" s="14"/>
      <c r="E420" s="31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"/>
      <c r="Q420" s="5"/>
    </row>
    <row r="421" spans="2:17">
      <c r="B421" s="132"/>
      <c r="C421" s="1"/>
      <c r="D421" s="14"/>
      <c r="E421" s="31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"/>
      <c r="Q421" s="5"/>
    </row>
    <row r="422" spans="2:17">
      <c r="B422" s="132"/>
      <c r="C422" s="1"/>
      <c r="D422" s="14"/>
      <c r="E422" s="31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"/>
      <c r="Q422" s="5"/>
    </row>
    <row r="423" spans="2:17">
      <c r="B423" s="132"/>
      <c r="C423" s="1"/>
      <c r="D423" s="14"/>
      <c r="E423" s="31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"/>
      <c r="Q423" s="5"/>
    </row>
    <row r="424" spans="2:17">
      <c r="B424" s="132"/>
      <c r="C424" s="1"/>
      <c r="D424" s="14"/>
      <c r="E424" s="31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"/>
      <c r="Q424" s="5"/>
    </row>
    <row r="425" spans="2:17">
      <c r="B425" s="132"/>
      <c r="C425" s="1"/>
      <c r="D425" s="14"/>
      <c r="E425" s="31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"/>
      <c r="Q425" s="5"/>
    </row>
    <row r="426" spans="2:17">
      <c r="B426" s="132"/>
      <c r="C426" s="1"/>
      <c r="D426" s="14"/>
      <c r="E426" s="31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"/>
      <c r="Q426" s="5"/>
    </row>
    <row r="427" spans="2:17">
      <c r="B427" s="132"/>
      <c r="C427" s="1"/>
      <c r="D427" s="14"/>
      <c r="E427" s="31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"/>
      <c r="Q427" s="5"/>
    </row>
    <row r="428" spans="2:17">
      <c r="B428" s="132"/>
      <c r="C428" s="1"/>
      <c r="D428" s="14"/>
      <c r="E428" s="31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"/>
      <c r="Q428" s="5"/>
    </row>
    <row r="429" spans="2:17">
      <c r="B429" s="132"/>
      <c r="C429" s="1"/>
      <c r="D429" s="14"/>
      <c r="E429" s="31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"/>
      <c r="Q429" s="5"/>
    </row>
    <row r="430" spans="2:17">
      <c r="B430" s="132"/>
      <c r="C430" s="1"/>
      <c r="D430" s="14"/>
      <c r="E430" s="31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"/>
      <c r="Q430" s="5"/>
    </row>
    <row r="431" spans="2:17">
      <c r="B431" s="132"/>
      <c r="C431" s="1"/>
      <c r="D431" s="14"/>
      <c r="E431" s="31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"/>
      <c r="Q431" s="5"/>
    </row>
    <row r="432" spans="2:17">
      <c r="B432" s="132"/>
      <c r="C432" s="1"/>
      <c r="D432" s="14"/>
      <c r="E432" s="31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"/>
      <c r="Q432" s="5"/>
    </row>
    <row r="433" spans="2:17">
      <c r="B433" s="132"/>
      <c r="C433" s="1"/>
      <c r="D433" s="14"/>
      <c r="E433" s="31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"/>
      <c r="Q433" s="5"/>
    </row>
    <row r="434" spans="2:17">
      <c r="B434" s="132"/>
      <c r="C434" s="1"/>
      <c r="D434" s="14"/>
      <c r="E434" s="31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"/>
      <c r="Q434" s="5"/>
    </row>
    <row r="435" spans="2:17">
      <c r="B435" s="132"/>
      <c r="C435" s="1"/>
      <c r="D435" s="14"/>
      <c r="E435" s="31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"/>
      <c r="Q435" s="5"/>
    </row>
    <row r="436" spans="2:17">
      <c r="B436" s="132"/>
      <c r="C436" s="1"/>
      <c r="D436" s="14"/>
      <c r="E436" s="31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"/>
      <c r="Q436" s="5"/>
    </row>
    <row r="437" spans="2:17">
      <c r="B437" s="132"/>
      <c r="C437" s="1"/>
      <c r="D437" s="14"/>
      <c r="E437" s="31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"/>
      <c r="Q437" s="5"/>
    </row>
    <row r="438" spans="2:17">
      <c r="B438" s="132"/>
      <c r="C438" s="1"/>
      <c r="D438" s="14"/>
      <c r="E438" s="33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"/>
      <c r="Q438" s="5"/>
    </row>
    <row r="439" spans="2:17">
      <c r="B439" s="132"/>
      <c r="C439" s="1"/>
      <c r="D439" s="14"/>
      <c r="E439" s="32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"/>
      <c r="Q439" s="5"/>
    </row>
    <row r="440" spans="2:17">
      <c r="B440" s="132"/>
      <c r="C440" s="1"/>
      <c r="D440" s="14"/>
      <c r="E440" s="32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"/>
      <c r="Q440" s="5"/>
    </row>
    <row r="441" spans="2:17">
      <c r="B441" s="132"/>
      <c r="C441" s="1"/>
      <c r="D441" s="14"/>
      <c r="E441" s="33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"/>
      <c r="Q441" s="5"/>
    </row>
    <row r="442" spans="2:17">
      <c r="B442" s="132"/>
      <c r="C442" s="1"/>
      <c r="D442" s="14"/>
      <c r="E442" s="33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"/>
      <c r="Q442" s="5"/>
    </row>
    <row r="443" spans="2:17">
      <c r="B443" s="132"/>
      <c r="C443" s="1"/>
      <c r="D443" s="14"/>
      <c r="E443" s="33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"/>
      <c r="Q443" s="5"/>
    </row>
    <row r="444" spans="2:17">
      <c r="B444" s="132"/>
      <c r="C444" s="1"/>
      <c r="D444" s="14"/>
      <c r="E444" s="33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"/>
      <c r="Q444" s="5"/>
    </row>
    <row r="445" spans="2:17">
      <c r="B445" s="132"/>
      <c r="C445" s="1"/>
      <c r="D445" s="14"/>
      <c r="E445" s="33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"/>
      <c r="Q445" s="5"/>
    </row>
    <row r="446" spans="2:17">
      <c r="B446" s="132"/>
      <c r="C446" s="1"/>
      <c r="D446" s="14"/>
      <c r="E446" s="33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"/>
      <c r="Q446" s="5"/>
    </row>
    <row r="447" spans="2:17">
      <c r="B447" s="132"/>
      <c r="C447" s="1"/>
      <c r="D447" s="14"/>
      <c r="E447" s="33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"/>
      <c r="Q447" s="5"/>
    </row>
    <row r="448" spans="2:17">
      <c r="B448" s="132"/>
      <c r="C448" s="1"/>
      <c r="D448" s="14"/>
      <c r="E448" s="33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"/>
      <c r="Q448" s="5"/>
    </row>
    <row r="449" spans="2:17">
      <c r="B449" s="132"/>
      <c r="C449" s="1"/>
      <c r="D449" s="14"/>
      <c r="E449" s="33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"/>
      <c r="Q449" s="5"/>
    </row>
    <row r="450" spans="2:17">
      <c r="B450" s="132"/>
      <c r="C450" s="1"/>
      <c r="D450" s="14"/>
      <c r="E450" s="33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"/>
      <c r="Q450" s="5"/>
    </row>
    <row r="451" spans="2:17">
      <c r="B451" s="132"/>
      <c r="C451" s="1"/>
      <c r="D451" s="14"/>
      <c r="E451" s="33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"/>
      <c r="Q451" s="5"/>
    </row>
    <row r="452" spans="2:17">
      <c r="B452" s="132"/>
      <c r="C452" s="1"/>
      <c r="D452" s="14"/>
      <c r="E452" s="33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"/>
      <c r="Q452" s="5"/>
    </row>
    <row r="453" spans="2:17">
      <c r="B453" s="132"/>
      <c r="C453" s="1"/>
      <c r="D453" s="14"/>
      <c r="E453" s="33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"/>
      <c r="Q453" s="5"/>
    </row>
    <row r="454" spans="2:17">
      <c r="B454" s="132"/>
      <c r="C454" s="1"/>
      <c r="D454" s="14"/>
      <c r="E454" s="33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"/>
      <c r="Q454" s="5"/>
    </row>
    <row r="455" spans="2:17">
      <c r="B455" s="132"/>
      <c r="C455" s="1"/>
      <c r="D455" s="14"/>
      <c r="E455" s="33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"/>
      <c r="Q455" s="5"/>
    </row>
    <row r="456" spans="2:17">
      <c r="B456" s="132"/>
      <c r="C456" s="1"/>
      <c r="D456" s="14"/>
      <c r="E456" s="33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"/>
      <c r="Q456" s="5"/>
    </row>
    <row r="457" spans="2:17">
      <c r="B457" s="132"/>
      <c r="C457" s="1"/>
      <c r="D457" s="14"/>
      <c r="E457" s="33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"/>
      <c r="Q457" s="5"/>
    </row>
    <row r="458" spans="2:17">
      <c r="B458" s="132"/>
      <c r="C458" s="1"/>
      <c r="D458" s="14"/>
      <c r="E458" s="33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"/>
      <c r="Q458" s="5"/>
    </row>
    <row r="459" spans="2:17">
      <c r="B459" s="132"/>
      <c r="C459" s="1"/>
      <c r="D459" s="14"/>
      <c r="E459" s="33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"/>
      <c r="Q459" s="5"/>
    </row>
    <row r="460" spans="2:17">
      <c r="B460" s="132"/>
      <c r="C460" s="1"/>
      <c r="D460" s="14"/>
      <c r="E460" s="33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"/>
      <c r="Q460" s="5"/>
    </row>
    <row r="461" spans="2:17">
      <c r="B461" s="132"/>
      <c r="C461" s="1"/>
      <c r="D461" s="14"/>
      <c r="E461" s="33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"/>
      <c r="Q461" s="5"/>
    </row>
    <row r="462" spans="2:17">
      <c r="B462" s="132"/>
      <c r="C462" s="1"/>
      <c r="D462" s="14"/>
      <c r="E462" s="33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"/>
      <c r="Q462" s="5"/>
    </row>
    <row r="463" spans="2:17">
      <c r="B463" s="132"/>
      <c r="C463" s="1"/>
      <c r="D463" s="14"/>
      <c r="E463" s="33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"/>
      <c r="Q463" s="5"/>
    </row>
    <row r="464" spans="2:17">
      <c r="B464" s="132"/>
      <c r="C464" s="1"/>
      <c r="D464" s="14"/>
      <c r="E464" s="33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"/>
      <c r="Q464" s="5"/>
    </row>
    <row r="465" spans="2:17">
      <c r="B465" s="132"/>
      <c r="C465" s="1"/>
      <c r="D465" s="14"/>
      <c r="E465" s="33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"/>
      <c r="Q465" s="5"/>
    </row>
    <row r="466" spans="2:17">
      <c r="B466" s="132"/>
      <c r="C466" s="1"/>
      <c r="D466" s="14"/>
      <c r="E466" s="31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"/>
      <c r="Q466" s="5"/>
    </row>
    <row r="467" spans="2:17">
      <c r="B467" s="132"/>
      <c r="C467" s="1"/>
      <c r="D467" s="14"/>
      <c r="E467" s="33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"/>
      <c r="Q467" s="5"/>
    </row>
    <row r="468" spans="2:17">
      <c r="B468" s="132"/>
      <c r="C468" s="1"/>
      <c r="D468" s="14"/>
      <c r="E468" s="33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"/>
      <c r="Q468" s="5"/>
    </row>
    <row r="469" spans="2:17">
      <c r="B469" s="132"/>
      <c r="C469" s="1"/>
      <c r="D469" s="14"/>
      <c r="E469" s="31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"/>
      <c r="Q469" s="5"/>
    </row>
    <row r="470" spans="2:17">
      <c r="B470" s="132"/>
      <c r="C470" s="1"/>
      <c r="D470" s="14"/>
      <c r="E470" s="33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"/>
      <c r="Q470" s="5"/>
    </row>
    <row r="471" spans="2:17">
      <c r="B471" s="132"/>
      <c r="C471" s="1"/>
      <c r="D471" s="14"/>
      <c r="E471" s="33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"/>
      <c r="Q471" s="5"/>
    </row>
    <row r="472" spans="2:17">
      <c r="B472" s="132"/>
      <c r="C472" s="1"/>
      <c r="D472" s="14"/>
      <c r="E472" s="31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"/>
      <c r="Q472" s="5"/>
    </row>
    <row r="473" spans="2:17">
      <c r="B473" s="132"/>
      <c r="C473" s="1"/>
      <c r="D473" s="14"/>
      <c r="E473" s="33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"/>
      <c r="Q473" s="5"/>
    </row>
    <row r="474" spans="2:17">
      <c r="B474" s="132"/>
      <c r="C474" s="1"/>
      <c r="D474" s="14"/>
      <c r="E474" s="33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"/>
      <c r="Q474" s="5"/>
    </row>
    <row r="475" spans="2:17">
      <c r="B475" s="132"/>
      <c r="C475" s="1"/>
      <c r="D475" s="14"/>
      <c r="E475" s="31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"/>
      <c r="Q475" s="5"/>
    </row>
    <row r="476" spans="2:17">
      <c r="B476" s="132"/>
      <c r="C476" s="1"/>
      <c r="D476" s="14"/>
      <c r="E476" s="33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"/>
      <c r="Q476" s="5"/>
    </row>
    <row r="477" spans="2:17">
      <c r="B477" s="132"/>
      <c r="C477" s="1"/>
      <c r="D477" s="14"/>
      <c r="E477" s="33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"/>
      <c r="Q477" s="5"/>
    </row>
    <row r="478" spans="2:17">
      <c r="B478" s="132"/>
      <c r="C478" s="1"/>
      <c r="D478" s="14"/>
      <c r="E478" s="31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"/>
      <c r="Q478" s="5"/>
    </row>
    <row r="479" spans="2:17">
      <c r="B479" s="132"/>
      <c r="C479" s="1"/>
      <c r="D479" s="14"/>
      <c r="E479" s="33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"/>
      <c r="Q479" s="5"/>
    </row>
    <row r="480" spans="2:17">
      <c r="B480" s="132"/>
      <c r="C480" s="1"/>
      <c r="D480" s="14"/>
      <c r="E480" s="33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"/>
      <c r="Q480" s="5"/>
    </row>
    <row r="481" spans="2:17">
      <c r="B481" s="132"/>
      <c r="C481" s="1"/>
      <c r="D481" s="14"/>
      <c r="E481" s="31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"/>
      <c r="Q481" s="5"/>
    </row>
    <row r="482" spans="2:17">
      <c r="B482" s="5"/>
      <c r="C482" s="5"/>
      <c r="D482" s="6"/>
      <c r="E482" s="8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5"/>
      <c r="Q482" s="5"/>
    </row>
    <row r="483" spans="2:17">
      <c r="B483" s="5"/>
      <c r="C483" s="5"/>
      <c r="D483" s="6"/>
      <c r="E483" s="9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5"/>
      <c r="Q483" s="5"/>
    </row>
    <row r="484" spans="2:17">
      <c r="B484" s="5"/>
      <c r="C484" s="5"/>
      <c r="D484" s="6"/>
      <c r="E484" s="7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5"/>
      <c r="Q484" s="5"/>
    </row>
    <row r="485" spans="2:17">
      <c r="B485" s="5"/>
      <c r="C485" s="5"/>
      <c r="D485" s="6"/>
      <c r="E485" s="9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5"/>
      <c r="Q485" s="5"/>
    </row>
    <row r="486" spans="2:17">
      <c r="B486" s="5"/>
      <c r="C486" s="5"/>
      <c r="D486" s="6"/>
      <c r="E486" s="9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5"/>
      <c r="Q486" s="5"/>
    </row>
    <row r="487" spans="2:17">
      <c r="B487" s="5"/>
      <c r="C487" s="5"/>
      <c r="D487" s="6"/>
      <c r="E487" s="7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5"/>
      <c r="Q487" s="5"/>
    </row>
    <row r="488" spans="2:17">
      <c r="B488" s="5"/>
      <c r="C488" s="5"/>
      <c r="D488" s="6"/>
      <c r="E488" s="9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5"/>
      <c r="Q488" s="5"/>
    </row>
    <row r="489" spans="2:17">
      <c r="B489" s="5"/>
      <c r="C489" s="5"/>
      <c r="D489" s="6"/>
      <c r="E489" s="9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5"/>
      <c r="Q489" s="5"/>
    </row>
  </sheetData>
  <autoFilter ref="X1:AA489" xr:uid="{00000000-0009-0000-0000-000000000000}"/>
  <mergeCells count="16">
    <mergeCell ref="P2:P3"/>
    <mergeCell ref="A1:P1"/>
    <mergeCell ref="A2:A3"/>
    <mergeCell ref="B9:B10"/>
    <mergeCell ref="B2:B3"/>
    <mergeCell ref="C2:C3"/>
    <mergeCell ref="D2:D3"/>
    <mergeCell ref="E2:E3"/>
    <mergeCell ref="F2:F3"/>
    <mergeCell ref="H2:H3"/>
    <mergeCell ref="I2:I3"/>
    <mergeCell ref="J2:J3"/>
    <mergeCell ref="K2:K3"/>
    <mergeCell ref="L2:L3"/>
    <mergeCell ref="M2:M3"/>
    <mergeCell ref="N2:N3"/>
  </mergeCells>
  <phoneticPr fontId="23" type="noConversion"/>
  <pageMargins left="1" right="1" top="1" bottom="1" header="0.5" footer="0.5"/>
  <pageSetup paperSize="9" scale="78" fitToWidth="0" orientation="landscape" r:id="rId1"/>
  <rowBreaks count="5" manualBreakCount="5">
    <brk id="35" min="1" max="10" man="1"/>
    <brk id="64" min="1" max="10" man="1"/>
    <brk id="99" min="1" max="10" man="1"/>
    <brk id="158" min="1" max="10" man="1"/>
    <brk id="190" max="16383" man="1"/>
  </rowBreaks>
  <colBreaks count="1" manualBreakCount="1">
    <brk id="26" max="17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F135"/>
  <sheetViews>
    <sheetView zoomScaleNormal="100" workbookViewId="0">
      <pane ySplit="4" topLeftCell="A85" activePane="bottomLeft" state="frozen"/>
      <selection pane="bottomLeft" activeCell="AD3" sqref="AD3:AD4"/>
    </sheetView>
  </sheetViews>
  <sheetFormatPr defaultRowHeight="15.75"/>
  <cols>
    <col min="1" max="1" width="7.42578125" style="2" customWidth="1"/>
    <col min="2" max="2" width="7.7109375" customWidth="1"/>
    <col min="3" max="3" width="19.7109375" customWidth="1"/>
    <col min="4" max="4" width="36.42578125" customWidth="1"/>
    <col min="5" max="5" width="6.140625" customWidth="1"/>
    <col min="6" max="6" width="9.5703125" customWidth="1"/>
    <col min="7" max="8" width="9.42578125" style="2" customWidth="1"/>
    <col min="9" max="9" width="2" style="2" hidden="1" customWidth="1"/>
    <col min="10" max="10" width="9.28515625" style="161" hidden="1" customWidth="1"/>
    <col min="11" max="12" width="8.42578125" style="2" hidden="1" customWidth="1"/>
    <col min="13" max="18" width="9.42578125" style="2" hidden="1" customWidth="1"/>
    <col min="19" max="19" width="10.42578125" hidden="1" customWidth="1"/>
    <col min="20" max="20" width="16.140625" hidden="1" customWidth="1"/>
    <col min="21" max="21" width="11.7109375" hidden="1" customWidth="1"/>
    <col min="22" max="22" width="9.85546875" style="145" hidden="1" customWidth="1"/>
    <col min="23" max="23" width="9.28515625" style="2" hidden="1" customWidth="1"/>
    <col min="24" max="24" width="15.85546875" hidden="1" customWidth="1"/>
    <col min="25" max="25" width="18.5703125" hidden="1" customWidth="1"/>
    <col min="26" max="26" width="18.140625" hidden="1" customWidth="1"/>
    <col min="27" max="27" width="8.140625" style="2" hidden="1" customWidth="1"/>
    <col min="28" max="28" width="11.140625" hidden="1" customWidth="1"/>
    <col min="29" max="29" width="10.42578125" hidden="1" customWidth="1"/>
    <col min="30" max="30" width="19.140625" style="52" customWidth="1"/>
  </cols>
  <sheetData>
    <row r="2" spans="1:30" ht="25.5">
      <c r="A2" s="358" t="s">
        <v>787</v>
      </c>
      <c r="B2" s="359"/>
      <c r="C2" s="359"/>
      <c r="D2" s="359"/>
      <c r="E2" s="359"/>
      <c r="F2" s="359"/>
      <c r="G2" s="359"/>
      <c r="H2" s="359"/>
      <c r="I2" s="359"/>
      <c r="J2" s="359"/>
      <c r="K2" s="359"/>
      <c r="L2" s="359"/>
      <c r="M2" s="359"/>
      <c r="N2" s="359"/>
      <c r="O2" s="359"/>
      <c r="P2" s="359"/>
      <c r="Q2" s="359"/>
      <c r="R2" s="359"/>
      <c r="S2" s="359"/>
      <c r="T2" s="359"/>
      <c r="U2" s="359"/>
      <c r="V2" s="359"/>
      <c r="W2" s="359"/>
      <c r="X2" s="359"/>
      <c r="Y2" s="359"/>
      <c r="Z2" s="359"/>
      <c r="AA2" s="359"/>
      <c r="AB2" s="359"/>
      <c r="AC2" s="360"/>
    </row>
    <row r="3" spans="1:30" ht="32.25" customHeight="1">
      <c r="A3" s="361" t="s">
        <v>579</v>
      </c>
      <c r="B3" s="338" t="s">
        <v>0</v>
      </c>
      <c r="C3" s="340" t="s">
        <v>21</v>
      </c>
      <c r="D3" s="342" t="s">
        <v>1</v>
      </c>
      <c r="E3" s="344" t="s">
        <v>2</v>
      </c>
      <c r="F3" s="346" t="s">
        <v>6</v>
      </c>
      <c r="G3" s="346"/>
      <c r="H3" s="346"/>
      <c r="I3" s="197" t="s">
        <v>609</v>
      </c>
      <c r="J3" s="349" t="s">
        <v>611</v>
      </c>
      <c r="K3" s="350"/>
      <c r="L3" s="350"/>
      <c r="M3" s="350"/>
      <c r="N3" s="350"/>
      <c r="O3" s="350"/>
      <c r="P3" s="350"/>
      <c r="Q3" s="350"/>
      <c r="R3" s="351"/>
      <c r="S3" s="330" t="s">
        <v>444</v>
      </c>
      <c r="T3" s="330" t="s">
        <v>527</v>
      </c>
      <c r="U3" s="330" t="s">
        <v>528</v>
      </c>
      <c r="V3" s="347" t="s">
        <v>791</v>
      </c>
      <c r="W3" s="330" t="s">
        <v>450</v>
      </c>
      <c r="X3" s="332" t="s">
        <v>567</v>
      </c>
      <c r="Y3" s="330" t="s">
        <v>614</v>
      </c>
      <c r="Z3" s="207" t="s">
        <v>529</v>
      </c>
      <c r="AA3" s="330" t="s">
        <v>656</v>
      </c>
      <c r="AB3" s="334" t="s">
        <v>171</v>
      </c>
      <c r="AC3" s="335"/>
      <c r="AD3" s="362" t="s">
        <v>866</v>
      </c>
    </row>
    <row r="4" spans="1:30" ht="36" customHeight="1">
      <c r="A4" s="361"/>
      <c r="B4" s="339"/>
      <c r="C4" s="341"/>
      <c r="D4" s="343"/>
      <c r="E4" s="345"/>
      <c r="F4" s="213" t="s">
        <v>525</v>
      </c>
      <c r="G4" s="213" t="s">
        <v>537</v>
      </c>
      <c r="H4" s="213" t="s">
        <v>629</v>
      </c>
      <c r="I4" s="198"/>
      <c r="J4" s="221" t="s">
        <v>698</v>
      </c>
      <c r="K4" s="275" t="s">
        <v>538</v>
      </c>
      <c r="L4" s="221" t="s">
        <v>544</v>
      </c>
      <c r="M4" s="221" t="s">
        <v>584</v>
      </c>
      <c r="N4" s="221" t="s">
        <v>597</v>
      </c>
      <c r="O4" s="276" t="s">
        <v>626</v>
      </c>
      <c r="P4" s="221" t="s">
        <v>688</v>
      </c>
      <c r="Q4" s="221" t="s">
        <v>697</v>
      </c>
      <c r="R4" s="221" t="s">
        <v>780</v>
      </c>
      <c r="S4" s="331"/>
      <c r="T4" s="331"/>
      <c r="U4" s="331"/>
      <c r="V4" s="348"/>
      <c r="W4" s="331"/>
      <c r="X4" s="333"/>
      <c r="Y4" s="331"/>
      <c r="Z4" s="207" t="s">
        <v>655</v>
      </c>
      <c r="AA4" s="331"/>
      <c r="AB4" s="336"/>
      <c r="AC4" s="337"/>
      <c r="AD4" s="362"/>
    </row>
    <row r="5" spans="1:30" s="35" customFormat="1" ht="15" customHeight="1">
      <c r="A5" s="42">
        <v>1</v>
      </c>
      <c r="B5" s="42">
        <v>1</v>
      </c>
      <c r="C5" s="42" t="s">
        <v>66</v>
      </c>
      <c r="D5" s="38" t="s">
        <v>121</v>
      </c>
      <c r="E5" s="42" t="s">
        <v>5</v>
      </c>
      <c r="F5" s="37">
        <v>1</v>
      </c>
      <c r="G5" s="172">
        <v>0</v>
      </c>
      <c r="H5" s="39">
        <v>0</v>
      </c>
      <c r="I5" s="199"/>
      <c r="J5" s="162">
        <v>0</v>
      </c>
      <c r="K5" s="39">
        <v>0</v>
      </c>
      <c r="L5" s="39">
        <v>0</v>
      </c>
      <c r="M5" s="39">
        <v>0</v>
      </c>
      <c r="N5" s="39">
        <v>0</v>
      </c>
      <c r="O5" s="39">
        <v>0</v>
      </c>
      <c r="P5" s="39">
        <v>0</v>
      </c>
      <c r="Q5" s="39">
        <v>0</v>
      </c>
      <c r="R5" s="39">
        <v>0</v>
      </c>
      <c r="S5" s="39">
        <v>0</v>
      </c>
      <c r="T5" s="80"/>
      <c r="U5" s="80"/>
      <c r="V5" s="105">
        <f>F5+G5+J5+K5+L5+M5+N5+O5-S5</f>
        <v>1</v>
      </c>
      <c r="W5" s="53">
        <f t="shared" ref="W5:W14" si="0">F5+G5+J5+K5+L5+M5+N5+O5-S5-V5</f>
        <v>0</v>
      </c>
      <c r="X5" s="80"/>
      <c r="Y5" s="165"/>
      <c r="Z5" s="49"/>
      <c r="AA5" s="42"/>
      <c r="AB5" s="354"/>
      <c r="AC5" s="355"/>
      <c r="AD5" s="144">
        <v>1</v>
      </c>
    </row>
    <row r="6" spans="1:30" s="35" customFormat="1" ht="15" customHeight="1">
      <c r="A6" s="42">
        <v>2</v>
      </c>
      <c r="B6" s="42">
        <v>2</v>
      </c>
      <c r="C6" s="42" t="s">
        <v>67</v>
      </c>
      <c r="D6" s="38" t="s">
        <v>122</v>
      </c>
      <c r="E6" s="42" t="s">
        <v>5</v>
      </c>
      <c r="F6" s="37">
        <v>1</v>
      </c>
      <c r="G6" s="172">
        <v>0</v>
      </c>
      <c r="H6" s="39">
        <v>0</v>
      </c>
      <c r="I6" s="199"/>
      <c r="J6" s="162">
        <v>0</v>
      </c>
      <c r="K6" s="39">
        <v>0</v>
      </c>
      <c r="L6" s="39">
        <v>0</v>
      </c>
      <c r="M6" s="39">
        <v>0</v>
      </c>
      <c r="N6" s="39">
        <v>0</v>
      </c>
      <c r="O6" s="39">
        <v>0</v>
      </c>
      <c r="P6" s="39">
        <v>0</v>
      </c>
      <c r="Q6" s="39">
        <v>0</v>
      </c>
      <c r="R6" s="39">
        <v>0</v>
      </c>
      <c r="S6" s="39">
        <v>0</v>
      </c>
      <c r="T6" s="42"/>
      <c r="U6" s="42"/>
      <c r="V6" s="105">
        <f t="shared" ref="V6:V14" si="1">F6+G6+L6+K6+M6+N6+O6-S6</f>
        <v>1</v>
      </c>
      <c r="W6" s="53">
        <f t="shared" si="0"/>
        <v>0</v>
      </c>
      <c r="X6" s="42"/>
      <c r="Y6" s="42"/>
      <c r="Z6" s="42"/>
      <c r="AA6" s="42"/>
      <c r="AB6" s="354"/>
      <c r="AC6" s="355"/>
      <c r="AD6" s="232">
        <v>2</v>
      </c>
    </row>
    <row r="7" spans="1:30" s="35" customFormat="1" ht="15" customHeight="1">
      <c r="A7" s="42">
        <v>3</v>
      </c>
      <c r="B7" s="42">
        <v>3</v>
      </c>
      <c r="C7" s="42" t="s">
        <v>68</v>
      </c>
      <c r="D7" s="38" t="s">
        <v>123</v>
      </c>
      <c r="E7" s="42" t="s">
        <v>5</v>
      </c>
      <c r="F7" s="37">
        <v>1</v>
      </c>
      <c r="G7" s="172">
        <v>0</v>
      </c>
      <c r="H7" s="39">
        <v>0</v>
      </c>
      <c r="I7" s="199"/>
      <c r="J7" s="162">
        <v>0</v>
      </c>
      <c r="K7" s="39">
        <v>0</v>
      </c>
      <c r="L7" s="39">
        <v>0</v>
      </c>
      <c r="M7" s="39">
        <v>0</v>
      </c>
      <c r="N7" s="39">
        <v>0</v>
      </c>
      <c r="O7" s="39">
        <v>0</v>
      </c>
      <c r="P7" s="39">
        <v>0</v>
      </c>
      <c r="Q7" s="39">
        <v>0</v>
      </c>
      <c r="R7" s="39">
        <v>0</v>
      </c>
      <c r="S7" s="39">
        <v>0</v>
      </c>
      <c r="T7" s="42"/>
      <c r="U7" s="42"/>
      <c r="V7" s="105">
        <f t="shared" si="1"/>
        <v>1</v>
      </c>
      <c r="W7" s="53">
        <f t="shared" si="0"/>
        <v>0</v>
      </c>
      <c r="X7" s="42"/>
      <c r="Y7" s="42"/>
      <c r="Z7" s="42"/>
      <c r="AA7" s="42"/>
      <c r="AB7" s="354"/>
      <c r="AC7" s="355"/>
      <c r="AD7" s="232">
        <v>4</v>
      </c>
    </row>
    <row r="8" spans="1:30" s="35" customFormat="1" ht="15" customHeight="1">
      <c r="A8" s="42">
        <v>4</v>
      </c>
      <c r="B8" s="42">
        <v>4</v>
      </c>
      <c r="C8" s="42" t="s">
        <v>69</v>
      </c>
      <c r="D8" s="38" t="s">
        <v>124</v>
      </c>
      <c r="E8" s="42" t="s">
        <v>5</v>
      </c>
      <c r="F8" s="37">
        <v>1</v>
      </c>
      <c r="G8" s="172">
        <v>0</v>
      </c>
      <c r="H8" s="39">
        <v>0</v>
      </c>
      <c r="I8" s="199"/>
      <c r="J8" s="162">
        <v>0</v>
      </c>
      <c r="K8" s="39">
        <v>0</v>
      </c>
      <c r="L8" s="39">
        <v>0</v>
      </c>
      <c r="M8" s="39">
        <v>0</v>
      </c>
      <c r="N8" s="39">
        <v>0</v>
      </c>
      <c r="O8" s="39">
        <v>0</v>
      </c>
      <c r="P8" s="39">
        <v>0</v>
      </c>
      <c r="Q8" s="39">
        <v>0</v>
      </c>
      <c r="R8" s="39">
        <v>0</v>
      </c>
      <c r="S8" s="39">
        <v>0</v>
      </c>
      <c r="T8" s="86"/>
      <c r="U8" s="42"/>
      <c r="V8" s="105">
        <f t="shared" si="1"/>
        <v>1</v>
      </c>
      <c r="W8" s="53">
        <f t="shared" si="0"/>
        <v>0</v>
      </c>
      <c r="X8" s="42"/>
      <c r="Y8" s="42"/>
      <c r="Z8" s="42"/>
      <c r="AA8" s="42"/>
      <c r="AB8" s="354"/>
      <c r="AC8" s="355"/>
      <c r="AD8" s="144">
        <v>1</v>
      </c>
    </row>
    <row r="9" spans="1:30" s="35" customFormat="1" ht="15" customHeight="1">
      <c r="A9" s="42">
        <v>5</v>
      </c>
      <c r="B9" s="42">
        <v>5</v>
      </c>
      <c r="C9" s="42" t="s">
        <v>70</v>
      </c>
      <c r="D9" s="43" t="s">
        <v>122</v>
      </c>
      <c r="E9" s="42" t="s">
        <v>5</v>
      </c>
      <c r="F9" s="37">
        <v>1</v>
      </c>
      <c r="G9" s="172">
        <v>0</v>
      </c>
      <c r="H9" s="39">
        <v>0</v>
      </c>
      <c r="I9" s="199"/>
      <c r="J9" s="162">
        <v>0</v>
      </c>
      <c r="K9" s="39">
        <v>0</v>
      </c>
      <c r="L9" s="39">
        <v>0</v>
      </c>
      <c r="M9" s="39">
        <v>0</v>
      </c>
      <c r="N9" s="39">
        <v>0</v>
      </c>
      <c r="O9" s="39">
        <v>0</v>
      </c>
      <c r="P9" s="39">
        <v>0</v>
      </c>
      <c r="Q9" s="39">
        <v>0</v>
      </c>
      <c r="R9" s="39">
        <v>0</v>
      </c>
      <c r="S9" s="39">
        <v>0</v>
      </c>
      <c r="T9" s="42"/>
      <c r="U9" s="42"/>
      <c r="V9" s="105">
        <f t="shared" si="1"/>
        <v>1</v>
      </c>
      <c r="W9" s="53">
        <f t="shared" si="0"/>
        <v>0</v>
      </c>
      <c r="X9" s="42"/>
      <c r="Y9" s="42"/>
      <c r="Z9" s="42"/>
      <c r="AA9" s="42"/>
      <c r="AB9" s="354"/>
      <c r="AC9" s="355"/>
      <c r="AD9" s="232">
        <v>4</v>
      </c>
    </row>
    <row r="10" spans="1:30" s="35" customFormat="1" ht="15" customHeight="1">
      <c r="A10" s="42">
        <v>6</v>
      </c>
      <c r="B10" s="42">
        <v>6</v>
      </c>
      <c r="C10" s="42" t="s">
        <v>71</v>
      </c>
      <c r="D10" s="43" t="s">
        <v>125</v>
      </c>
      <c r="E10" s="42" t="s">
        <v>5</v>
      </c>
      <c r="F10" s="37">
        <v>1</v>
      </c>
      <c r="G10" s="172">
        <v>0</v>
      </c>
      <c r="H10" s="39">
        <v>0</v>
      </c>
      <c r="I10" s="199"/>
      <c r="J10" s="162">
        <v>0</v>
      </c>
      <c r="K10" s="39">
        <v>0</v>
      </c>
      <c r="L10" s="39">
        <v>0</v>
      </c>
      <c r="M10" s="39">
        <v>0</v>
      </c>
      <c r="N10" s="39">
        <v>0</v>
      </c>
      <c r="O10" s="39">
        <v>0</v>
      </c>
      <c r="P10" s="39">
        <v>0</v>
      </c>
      <c r="Q10" s="39">
        <v>0</v>
      </c>
      <c r="R10" s="39">
        <v>0</v>
      </c>
      <c r="S10" s="39">
        <v>0</v>
      </c>
      <c r="T10" s="42"/>
      <c r="U10" s="42"/>
      <c r="V10" s="105">
        <f t="shared" si="1"/>
        <v>1</v>
      </c>
      <c r="W10" s="53">
        <f t="shared" si="0"/>
        <v>0</v>
      </c>
      <c r="X10" s="42"/>
      <c r="Y10" s="42"/>
      <c r="Z10" s="42"/>
      <c r="AA10" s="42"/>
      <c r="AB10" s="354"/>
      <c r="AC10" s="355"/>
      <c r="AD10" s="144">
        <v>1</v>
      </c>
    </row>
    <row r="11" spans="1:30" s="35" customFormat="1" ht="15" customHeight="1">
      <c r="A11" s="42">
        <v>7</v>
      </c>
      <c r="B11" s="42">
        <v>7</v>
      </c>
      <c r="C11" s="42" t="s">
        <v>72</v>
      </c>
      <c r="D11" s="43" t="s">
        <v>126</v>
      </c>
      <c r="E11" s="42" t="s">
        <v>5</v>
      </c>
      <c r="F11" s="37">
        <v>1</v>
      </c>
      <c r="G11" s="172">
        <v>0</v>
      </c>
      <c r="H11" s="39">
        <v>0</v>
      </c>
      <c r="I11" s="199"/>
      <c r="J11" s="162">
        <v>0</v>
      </c>
      <c r="K11" s="39">
        <v>0</v>
      </c>
      <c r="L11" s="39">
        <v>0</v>
      </c>
      <c r="M11" s="39">
        <v>0</v>
      </c>
      <c r="N11" s="39">
        <v>0</v>
      </c>
      <c r="O11" s="39">
        <v>0</v>
      </c>
      <c r="P11" s="39">
        <v>0</v>
      </c>
      <c r="Q11" s="39">
        <v>0</v>
      </c>
      <c r="R11" s="39">
        <v>0</v>
      </c>
      <c r="S11" s="39">
        <v>0</v>
      </c>
      <c r="T11" s="42"/>
      <c r="U11" s="42"/>
      <c r="V11" s="105">
        <f t="shared" si="1"/>
        <v>1</v>
      </c>
      <c r="W11" s="53">
        <f t="shared" si="0"/>
        <v>0</v>
      </c>
      <c r="X11" s="42"/>
      <c r="Y11" s="42"/>
      <c r="Z11" s="42"/>
      <c r="AA11" s="42"/>
      <c r="AB11" s="354"/>
      <c r="AC11" s="355"/>
      <c r="AD11" s="232">
        <v>2</v>
      </c>
    </row>
    <row r="12" spans="1:30" s="35" customFormat="1" ht="15" customHeight="1">
      <c r="A12" s="42">
        <v>8</v>
      </c>
      <c r="B12" s="42">
        <v>8</v>
      </c>
      <c r="C12" s="42" t="s">
        <v>73</v>
      </c>
      <c r="D12" s="43" t="s">
        <v>126</v>
      </c>
      <c r="E12" s="42" t="s">
        <v>5</v>
      </c>
      <c r="F12" s="37">
        <v>1</v>
      </c>
      <c r="G12" s="172">
        <v>0</v>
      </c>
      <c r="H12" s="39">
        <v>0</v>
      </c>
      <c r="I12" s="199"/>
      <c r="J12" s="162">
        <v>0</v>
      </c>
      <c r="K12" s="39">
        <v>0</v>
      </c>
      <c r="L12" s="39">
        <v>0</v>
      </c>
      <c r="M12" s="39">
        <v>0</v>
      </c>
      <c r="N12" s="39">
        <v>0</v>
      </c>
      <c r="O12" s="39">
        <v>0</v>
      </c>
      <c r="P12" s="39">
        <v>0</v>
      </c>
      <c r="Q12" s="39">
        <v>0</v>
      </c>
      <c r="R12" s="39">
        <v>0</v>
      </c>
      <c r="S12" s="39">
        <v>0</v>
      </c>
      <c r="T12" s="42"/>
      <c r="U12" s="42"/>
      <c r="V12" s="105">
        <f t="shared" si="1"/>
        <v>1</v>
      </c>
      <c r="W12" s="53">
        <f t="shared" si="0"/>
        <v>0</v>
      </c>
      <c r="X12" s="42"/>
      <c r="Y12" s="42"/>
      <c r="Z12" s="42"/>
      <c r="AA12" s="42"/>
      <c r="AB12" s="354"/>
      <c r="AC12" s="355"/>
      <c r="AD12" s="232">
        <v>2</v>
      </c>
    </row>
    <row r="13" spans="1:30" s="35" customFormat="1" ht="15" customHeight="1">
      <c r="A13" s="42">
        <v>9</v>
      </c>
      <c r="B13" s="42">
        <v>9</v>
      </c>
      <c r="C13" s="42" t="s">
        <v>74</v>
      </c>
      <c r="D13" s="43" t="s">
        <v>127</v>
      </c>
      <c r="E13" s="42" t="s">
        <v>5</v>
      </c>
      <c r="F13" s="37">
        <v>1</v>
      </c>
      <c r="G13" s="172">
        <v>0</v>
      </c>
      <c r="H13" s="39">
        <v>0</v>
      </c>
      <c r="I13" s="199"/>
      <c r="J13" s="162">
        <v>0</v>
      </c>
      <c r="K13" s="39">
        <v>0</v>
      </c>
      <c r="L13" s="39">
        <v>0</v>
      </c>
      <c r="M13" s="39">
        <v>0</v>
      </c>
      <c r="N13" s="39">
        <v>0</v>
      </c>
      <c r="O13" s="39">
        <v>0</v>
      </c>
      <c r="P13" s="39">
        <v>0</v>
      </c>
      <c r="Q13" s="39">
        <v>0</v>
      </c>
      <c r="R13" s="39">
        <v>0</v>
      </c>
      <c r="S13" s="39">
        <v>0</v>
      </c>
      <c r="T13" s="42"/>
      <c r="U13" s="42"/>
      <c r="V13" s="105">
        <f t="shared" si="1"/>
        <v>1</v>
      </c>
      <c r="W13" s="53">
        <f t="shared" si="0"/>
        <v>0</v>
      </c>
      <c r="X13" s="42"/>
      <c r="Y13" s="42"/>
      <c r="Z13" s="42"/>
      <c r="AA13" s="42"/>
      <c r="AB13" s="354"/>
      <c r="AC13" s="355"/>
      <c r="AD13" s="144">
        <v>1</v>
      </c>
    </row>
    <row r="14" spans="1:30" s="35" customFormat="1" ht="15" customHeight="1">
      <c r="A14" s="42">
        <v>10</v>
      </c>
      <c r="B14" s="42">
        <v>10</v>
      </c>
      <c r="C14" s="42" t="s">
        <v>75</v>
      </c>
      <c r="D14" s="43" t="s">
        <v>127</v>
      </c>
      <c r="E14" s="42" t="s">
        <v>5</v>
      </c>
      <c r="F14" s="37">
        <v>1</v>
      </c>
      <c r="G14" s="172">
        <v>0</v>
      </c>
      <c r="H14" s="39">
        <v>0</v>
      </c>
      <c r="I14" s="199"/>
      <c r="J14" s="162">
        <v>0</v>
      </c>
      <c r="K14" s="39">
        <v>0</v>
      </c>
      <c r="L14" s="39">
        <v>0</v>
      </c>
      <c r="M14" s="39">
        <v>0</v>
      </c>
      <c r="N14" s="39">
        <v>0</v>
      </c>
      <c r="O14" s="39">
        <v>0</v>
      </c>
      <c r="P14" s="39">
        <v>0</v>
      </c>
      <c r="Q14" s="39">
        <v>0</v>
      </c>
      <c r="R14" s="39">
        <v>0</v>
      </c>
      <c r="S14" s="39">
        <v>0</v>
      </c>
      <c r="T14" s="42"/>
      <c r="U14" s="42"/>
      <c r="V14" s="105">
        <f t="shared" si="1"/>
        <v>1</v>
      </c>
      <c r="W14" s="53">
        <f t="shared" si="0"/>
        <v>0</v>
      </c>
      <c r="X14" s="42"/>
      <c r="Y14" s="42"/>
      <c r="Z14" s="42"/>
      <c r="AA14" s="42"/>
      <c r="AB14" s="354"/>
      <c r="AC14" s="355"/>
      <c r="AD14" s="144">
        <v>1</v>
      </c>
    </row>
    <row r="15" spans="1:30" s="143" customFormat="1" ht="28.5" customHeight="1">
      <c r="A15" s="167">
        <v>11</v>
      </c>
      <c r="B15" s="167">
        <v>11</v>
      </c>
      <c r="C15" s="167" t="s">
        <v>76</v>
      </c>
      <c r="D15" s="227" t="s">
        <v>128</v>
      </c>
      <c r="E15" s="169" t="s">
        <v>3</v>
      </c>
      <c r="F15" s="169">
        <v>2</v>
      </c>
      <c r="G15" s="173">
        <v>0</v>
      </c>
      <c r="H15" s="167">
        <v>0</v>
      </c>
      <c r="I15" s="199"/>
      <c r="J15" s="170">
        <v>0</v>
      </c>
      <c r="K15" s="167">
        <v>0</v>
      </c>
      <c r="L15" s="249">
        <v>1</v>
      </c>
      <c r="M15" s="167">
        <v>0</v>
      </c>
      <c r="N15" s="167">
        <v>0</v>
      </c>
      <c r="O15" s="167">
        <v>0</v>
      </c>
      <c r="P15" s="167">
        <v>0</v>
      </c>
      <c r="Q15" s="167">
        <v>0</v>
      </c>
      <c r="R15" s="167">
        <v>0</v>
      </c>
      <c r="S15" s="169">
        <v>1</v>
      </c>
      <c r="T15" s="225" t="s">
        <v>570</v>
      </c>
      <c r="U15" s="214" t="s">
        <v>571</v>
      </c>
      <c r="V15" s="105">
        <f>F15+G15+L15+K15+M15+N15+O15+P15+Q15-S15</f>
        <v>2</v>
      </c>
      <c r="W15" s="169">
        <f t="shared" ref="W15:W37" si="2">F15+L15-S15-V15</f>
        <v>0</v>
      </c>
      <c r="X15" s="225" t="s">
        <v>545</v>
      </c>
      <c r="Y15" s="225" t="s">
        <v>615</v>
      </c>
      <c r="Z15" s="228" t="s">
        <v>668</v>
      </c>
      <c r="AA15" s="228" t="s">
        <v>667</v>
      </c>
      <c r="AB15" s="352"/>
      <c r="AC15" s="353"/>
      <c r="AD15" s="232">
        <v>4</v>
      </c>
    </row>
    <row r="16" spans="1:30" s="35" customFormat="1" ht="15" customHeight="1">
      <c r="A16" s="42">
        <v>12</v>
      </c>
      <c r="B16" s="42">
        <v>12</v>
      </c>
      <c r="C16" s="42" t="s">
        <v>77</v>
      </c>
      <c r="D16" s="38" t="s">
        <v>129</v>
      </c>
      <c r="E16" s="42" t="s">
        <v>5</v>
      </c>
      <c r="F16" s="37">
        <v>1</v>
      </c>
      <c r="G16" s="172">
        <v>0</v>
      </c>
      <c r="H16" s="39">
        <v>0</v>
      </c>
      <c r="I16" s="199"/>
      <c r="J16" s="162">
        <v>0</v>
      </c>
      <c r="K16" s="39">
        <v>0</v>
      </c>
      <c r="L16" s="39">
        <v>0</v>
      </c>
      <c r="M16" s="39">
        <v>0</v>
      </c>
      <c r="N16" s="39">
        <v>0</v>
      </c>
      <c r="O16" s="39">
        <v>0</v>
      </c>
      <c r="P16" s="39">
        <v>0</v>
      </c>
      <c r="Q16" s="39">
        <v>0</v>
      </c>
      <c r="R16" s="39">
        <v>0</v>
      </c>
      <c r="S16" s="39">
        <v>0</v>
      </c>
      <c r="T16" s="42"/>
      <c r="U16" s="42"/>
      <c r="V16" s="105">
        <f>F16+G16+L16+K16+M16+N16+O16-S16</f>
        <v>1</v>
      </c>
      <c r="W16" s="141">
        <f t="shared" si="2"/>
        <v>0</v>
      </c>
      <c r="X16" s="42"/>
      <c r="Y16" s="42"/>
      <c r="Z16" s="42"/>
      <c r="AA16" s="42"/>
      <c r="AB16" s="354"/>
      <c r="AC16" s="355"/>
      <c r="AD16" s="144">
        <v>1</v>
      </c>
    </row>
    <row r="17" spans="1:30" s="35" customFormat="1" ht="15" customHeight="1">
      <c r="A17" s="42">
        <v>13</v>
      </c>
      <c r="B17" s="42">
        <v>13</v>
      </c>
      <c r="C17" s="42" t="s">
        <v>78</v>
      </c>
      <c r="D17" s="38" t="s">
        <v>129</v>
      </c>
      <c r="E17" s="42" t="s">
        <v>5</v>
      </c>
      <c r="F17" s="37">
        <v>1</v>
      </c>
      <c r="G17" s="172">
        <v>0</v>
      </c>
      <c r="H17" s="39">
        <v>0</v>
      </c>
      <c r="I17" s="199"/>
      <c r="J17" s="162">
        <v>0</v>
      </c>
      <c r="K17" s="39">
        <v>0</v>
      </c>
      <c r="L17" s="39">
        <v>0</v>
      </c>
      <c r="M17" s="39">
        <v>0</v>
      </c>
      <c r="N17" s="39">
        <v>0</v>
      </c>
      <c r="O17" s="39">
        <v>0</v>
      </c>
      <c r="P17" s="39">
        <v>0</v>
      </c>
      <c r="Q17" s="39">
        <v>0</v>
      </c>
      <c r="R17" s="39">
        <v>0</v>
      </c>
      <c r="S17" s="39">
        <v>0</v>
      </c>
      <c r="T17" s="42"/>
      <c r="U17" s="42"/>
      <c r="V17" s="105">
        <f t="shared" ref="V17:V37" si="3">F17+G17+J17+K17+L17+M17+N17+O17-S17</f>
        <v>1</v>
      </c>
      <c r="W17" s="141">
        <f t="shared" si="2"/>
        <v>0</v>
      </c>
      <c r="X17" s="42"/>
      <c r="Y17" s="42"/>
      <c r="Z17" s="42"/>
      <c r="AA17" s="42"/>
      <c r="AB17" s="354"/>
      <c r="AC17" s="355"/>
      <c r="AD17" s="144">
        <v>1</v>
      </c>
    </row>
    <row r="18" spans="1:30" s="35" customFormat="1" ht="15" customHeight="1">
      <c r="A18" s="42">
        <v>14</v>
      </c>
      <c r="B18" s="42">
        <v>14</v>
      </c>
      <c r="C18" s="42" t="s">
        <v>79</v>
      </c>
      <c r="D18" s="38" t="s">
        <v>129</v>
      </c>
      <c r="E18" s="42" t="s">
        <v>5</v>
      </c>
      <c r="F18" s="37">
        <v>1</v>
      </c>
      <c r="G18" s="172">
        <v>0</v>
      </c>
      <c r="H18" s="39">
        <v>0</v>
      </c>
      <c r="I18" s="199"/>
      <c r="J18" s="162">
        <v>0</v>
      </c>
      <c r="K18" s="39">
        <v>0</v>
      </c>
      <c r="L18" s="39">
        <v>0</v>
      </c>
      <c r="M18" s="39">
        <v>0</v>
      </c>
      <c r="N18" s="39">
        <v>0</v>
      </c>
      <c r="O18" s="39">
        <v>0</v>
      </c>
      <c r="P18" s="39">
        <v>0</v>
      </c>
      <c r="Q18" s="39">
        <v>0</v>
      </c>
      <c r="R18" s="39">
        <v>0</v>
      </c>
      <c r="S18" s="39">
        <v>0</v>
      </c>
      <c r="T18" s="42"/>
      <c r="U18" s="42"/>
      <c r="V18" s="105">
        <f t="shared" si="3"/>
        <v>1</v>
      </c>
      <c r="W18" s="141">
        <f t="shared" si="2"/>
        <v>0</v>
      </c>
      <c r="X18" s="42"/>
      <c r="Y18" s="42"/>
      <c r="Z18" s="42"/>
      <c r="AA18" s="42"/>
      <c r="AB18" s="354"/>
      <c r="AC18" s="355"/>
      <c r="AD18" s="144">
        <v>1</v>
      </c>
    </row>
    <row r="19" spans="1:30" s="35" customFormat="1" ht="15" customHeight="1">
      <c r="A19" s="42">
        <v>15</v>
      </c>
      <c r="B19" s="42">
        <v>15</v>
      </c>
      <c r="C19" s="42" t="s">
        <v>80</v>
      </c>
      <c r="D19" s="38" t="s">
        <v>130</v>
      </c>
      <c r="E19" s="42" t="s">
        <v>5</v>
      </c>
      <c r="F19" s="37">
        <v>1</v>
      </c>
      <c r="G19" s="172">
        <v>0</v>
      </c>
      <c r="H19" s="39">
        <v>0</v>
      </c>
      <c r="I19" s="199"/>
      <c r="J19" s="162">
        <v>0</v>
      </c>
      <c r="K19" s="39">
        <v>0</v>
      </c>
      <c r="L19" s="39">
        <v>0</v>
      </c>
      <c r="M19" s="39">
        <v>0</v>
      </c>
      <c r="N19" s="39">
        <v>0</v>
      </c>
      <c r="O19" s="39">
        <v>0</v>
      </c>
      <c r="P19" s="39">
        <v>0</v>
      </c>
      <c r="Q19" s="39">
        <v>0</v>
      </c>
      <c r="R19" s="39">
        <v>0</v>
      </c>
      <c r="S19" s="39">
        <v>0</v>
      </c>
      <c r="T19" s="42"/>
      <c r="U19" s="42"/>
      <c r="V19" s="105">
        <f t="shared" si="3"/>
        <v>1</v>
      </c>
      <c r="W19" s="141">
        <f t="shared" si="2"/>
        <v>0</v>
      </c>
      <c r="X19" s="42"/>
      <c r="Y19" s="42"/>
      <c r="Z19" s="42"/>
      <c r="AA19" s="42"/>
      <c r="AB19" s="354"/>
      <c r="AC19" s="355"/>
      <c r="AD19" s="144">
        <v>1</v>
      </c>
    </row>
    <row r="20" spans="1:30" s="35" customFormat="1" ht="15" customHeight="1">
      <c r="A20" s="42">
        <v>16</v>
      </c>
      <c r="B20" s="42">
        <v>16</v>
      </c>
      <c r="C20" s="42" t="s">
        <v>81</v>
      </c>
      <c r="D20" s="38" t="s">
        <v>130</v>
      </c>
      <c r="E20" s="42" t="s">
        <v>5</v>
      </c>
      <c r="F20" s="37">
        <v>1</v>
      </c>
      <c r="G20" s="172">
        <v>0</v>
      </c>
      <c r="H20" s="39">
        <v>0</v>
      </c>
      <c r="I20" s="199"/>
      <c r="J20" s="162">
        <v>0</v>
      </c>
      <c r="K20" s="39">
        <v>0</v>
      </c>
      <c r="L20" s="39">
        <v>0</v>
      </c>
      <c r="M20" s="39">
        <v>0</v>
      </c>
      <c r="N20" s="39">
        <v>0</v>
      </c>
      <c r="O20" s="39">
        <v>0</v>
      </c>
      <c r="P20" s="39">
        <v>0</v>
      </c>
      <c r="Q20" s="39">
        <v>0</v>
      </c>
      <c r="R20" s="39">
        <v>0</v>
      </c>
      <c r="S20" s="39">
        <v>0</v>
      </c>
      <c r="T20" s="42"/>
      <c r="U20" s="42"/>
      <c r="V20" s="105">
        <f t="shared" si="3"/>
        <v>1</v>
      </c>
      <c r="W20" s="141">
        <f t="shared" si="2"/>
        <v>0</v>
      </c>
      <c r="X20" s="42"/>
      <c r="Y20" s="42"/>
      <c r="Z20" s="42"/>
      <c r="AA20" s="42"/>
      <c r="AB20" s="354"/>
      <c r="AC20" s="355"/>
      <c r="AD20" s="144">
        <v>1</v>
      </c>
    </row>
    <row r="21" spans="1:30" s="35" customFormat="1" ht="15" customHeight="1">
      <c r="A21" s="42">
        <v>17</v>
      </c>
      <c r="B21" s="42">
        <v>17</v>
      </c>
      <c r="C21" s="42" t="s">
        <v>82</v>
      </c>
      <c r="D21" s="38" t="s">
        <v>130</v>
      </c>
      <c r="E21" s="42" t="s">
        <v>5</v>
      </c>
      <c r="F21" s="37">
        <v>1</v>
      </c>
      <c r="G21" s="172">
        <v>0</v>
      </c>
      <c r="H21" s="39">
        <v>0</v>
      </c>
      <c r="I21" s="199"/>
      <c r="J21" s="162">
        <v>0</v>
      </c>
      <c r="K21" s="39">
        <v>0</v>
      </c>
      <c r="L21" s="39">
        <v>0</v>
      </c>
      <c r="M21" s="39">
        <v>0</v>
      </c>
      <c r="N21" s="39">
        <v>0</v>
      </c>
      <c r="O21" s="39">
        <v>0</v>
      </c>
      <c r="P21" s="39">
        <v>0</v>
      </c>
      <c r="Q21" s="39">
        <v>0</v>
      </c>
      <c r="R21" s="39">
        <v>0</v>
      </c>
      <c r="S21" s="39">
        <v>0</v>
      </c>
      <c r="T21" s="42"/>
      <c r="U21" s="42"/>
      <c r="V21" s="105">
        <f t="shared" si="3"/>
        <v>1</v>
      </c>
      <c r="W21" s="141">
        <f t="shared" si="2"/>
        <v>0</v>
      </c>
      <c r="X21" s="42"/>
      <c r="Y21" s="42"/>
      <c r="Z21" s="42"/>
      <c r="AA21" s="42"/>
      <c r="AB21" s="354"/>
      <c r="AC21" s="355"/>
      <c r="AD21" s="144">
        <v>1</v>
      </c>
    </row>
    <row r="22" spans="1:30" s="35" customFormat="1" ht="15" customHeight="1">
      <c r="A22" s="42">
        <v>18</v>
      </c>
      <c r="B22" s="42">
        <v>18</v>
      </c>
      <c r="C22" s="42" t="s">
        <v>83</v>
      </c>
      <c r="D22" s="38" t="s">
        <v>130</v>
      </c>
      <c r="E22" s="42" t="s">
        <v>5</v>
      </c>
      <c r="F22" s="37">
        <v>1</v>
      </c>
      <c r="G22" s="172">
        <v>0</v>
      </c>
      <c r="H22" s="39">
        <v>0</v>
      </c>
      <c r="I22" s="199"/>
      <c r="J22" s="162">
        <v>0</v>
      </c>
      <c r="K22" s="39">
        <v>0</v>
      </c>
      <c r="L22" s="39">
        <v>0</v>
      </c>
      <c r="M22" s="39">
        <v>0</v>
      </c>
      <c r="N22" s="39">
        <v>0</v>
      </c>
      <c r="O22" s="39">
        <v>0</v>
      </c>
      <c r="P22" s="39">
        <v>0</v>
      </c>
      <c r="Q22" s="39">
        <v>0</v>
      </c>
      <c r="R22" s="39">
        <v>0</v>
      </c>
      <c r="S22" s="39">
        <v>0</v>
      </c>
      <c r="T22" s="42"/>
      <c r="U22" s="42"/>
      <c r="V22" s="105">
        <f t="shared" si="3"/>
        <v>1</v>
      </c>
      <c r="W22" s="141">
        <f t="shared" si="2"/>
        <v>0</v>
      </c>
      <c r="X22" s="42"/>
      <c r="Y22" s="42"/>
      <c r="Z22" s="42"/>
      <c r="AA22" s="42"/>
      <c r="AB22" s="354"/>
      <c r="AC22" s="355"/>
      <c r="AD22" s="232">
        <v>2</v>
      </c>
    </row>
    <row r="23" spans="1:30" s="35" customFormat="1" ht="15.75" customHeight="1">
      <c r="A23" s="42">
        <v>19</v>
      </c>
      <c r="B23" s="42">
        <v>19</v>
      </c>
      <c r="C23" s="42" t="s">
        <v>84</v>
      </c>
      <c r="D23" s="38" t="s">
        <v>130</v>
      </c>
      <c r="E23" s="42" t="s">
        <v>5</v>
      </c>
      <c r="F23" s="37">
        <v>1</v>
      </c>
      <c r="G23" s="172">
        <v>0</v>
      </c>
      <c r="H23" s="39">
        <v>0</v>
      </c>
      <c r="I23" s="199"/>
      <c r="J23" s="162">
        <v>0</v>
      </c>
      <c r="K23" s="39">
        <v>0</v>
      </c>
      <c r="L23" s="39">
        <v>0</v>
      </c>
      <c r="M23" s="39">
        <v>0</v>
      </c>
      <c r="N23" s="39">
        <v>0</v>
      </c>
      <c r="O23" s="39">
        <v>0</v>
      </c>
      <c r="P23" s="39">
        <v>0</v>
      </c>
      <c r="Q23" s="39">
        <v>0</v>
      </c>
      <c r="R23" s="39">
        <v>0</v>
      </c>
      <c r="S23" s="39">
        <v>0</v>
      </c>
      <c r="T23" s="42"/>
      <c r="U23" s="42"/>
      <c r="V23" s="105">
        <f t="shared" si="3"/>
        <v>1</v>
      </c>
      <c r="W23" s="141">
        <f t="shared" si="2"/>
        <v>0</v>
      </c>
      <c r="X23" s="42"/>
      <c r="Y23" s="42"/>
      <c r="Z23" s="42"/>
      <c r="AA23" s="42"/>
      <c r="AB23" s="354"/>
      <c r="AC23" s="355"/>
      <c r="AD23" s="144">
        <v>1</v>
      </c>
    </row>
    <row r="24" spans="1:30" s="35" customFormat="1" ht="38.25" customHeight="1">
      <c r="A24" s="42">
        <v>20</v>
      </c>
      <c r="B24" s="42">
        <v>20</v>
      </c>
      <c r="C24" s="42" t="s">
        <v>85</v>
      </c>
      <c r="D24" s="38" t="s">
        <v>131</v>
      </c>
      <c r="E24" s="42" t="s">
        <v>5</v>
      </c>
      <c r="F24" s="37">
        <v>1</v>
      </c>
      <c r="G24" s="172">
        <v>0</v>
      </c>
      <c r="H24" s="39">
        <v>0</v>
      </c>
      <c r="I24" s="199"/>
      <c r="J24" s="162">
        <v>0</v>
      </c>
      <c r="K24" s="39">
        <v>0</v>
      </c>
      <c r="L24" s="39">
        <v>0</v>
      </c>
      <c r="M24" s="39">
        <v>0</v>
      </c>
      <c r="N24" s="39">
        <v>0</v>
      </c>
      <c r="O24" s="39">
        <v>0</v>
      </c>
      <c r="P24" s="39">
        <v>0</v>
      </c>
      <c r="Q24" s="39">
        <v>0</v>
      </c>
      <c r="R24" s="39">
        <v>0</v>
      </c>
      <c r="S24" s="39">
        <v>0</v>
      </c>
      <c r="T24" s="42"/>
      <c r="U24" s="42"/>
      <c r="V24" s="105">
        <f t="shared" si="3"/>
        <v>1</v>
      </c>
      <c r="W24" s="141">
        <f t="shared" si="2"/>
        <v>0</v>
      </c>
      <c r="X24" s="42"/>
      <c r="Y24" s="42"/>
      <c r="Z24" s="42"/>
      <c r="AA24" s="42"/>
      <c r="AB24" s="354"/>
      <c r="AC24" s="355"/>
      <c r="AD24" s="447" t="s">
        <v>867</v>
      </c>
    </row>
    <row r="25" spans="1:30" s="35" customFormat="1" ht="15" customHeight="1">
      <c r="A25" s="42">
        <v>21</v>
      </c>
      <c r="B25" s="42">
        <v>21</v>
      </c>
      <c r="C25" s="42" t="s">
        <v>86</v>
      </c>
      <c r="D25" s="38" t="s">
        <v>132</v>
      </c>
      <c r="E25" s="42" t="s">
        <v>5</v>
      </c>
      <c r="F25" s="37">
        <v>1</v>
      </c>
      <c r="G25" s="172">
        <v>0</v>
      </c>
      <c r="H25" s="39">
        <v>0</v>
      </c>
      <c r="I25" s="199"/>
      <c r="J25" s="162">
        <v>0</v>
      </c>
      <c r="K25" s="39">
        <v>0</v>
      </c>
      <c r="L25" s="39">
        <v>0</v>
      </c>
      <c r="M25" s="39">
        <v>0</v>
      </c>
      <c r="N25" s="39">
        <v>0</v>
      </c>
      <c r="O25" s="39">
        <v>0</v>
      </c>
      <c r="P25" s="39">
        <v>0</v>
      </c>
      <c r="Q25" s="39">
        <v>0</v>
      </c>
      <c r="R25" s="39">
        <v>0</v>
      </c>
      <c r="S25" s="39">
        <v>0</v>
      </c>
      <c r="T25" s="42"/>
      <c r="U25" s="42"/>
      <c r="V25" s="105">
        <f t="shared" si="3"/>
        <v>1</v>
      </c>
      <c r="W25" s="141">
        <f t="shared" si="2"/>
        <v>0</v>
      </c>
      <c r="X25" s="42"/>
      <c r="Y25" s="42"/>
      <c r="Z25" s="42"/>
      <c r="AA25" s="42"/>
      <c r="AB25" s="354"/>
      <c r="AC25" s="355"/>
      <c r="AD25" s="144">
        <v>1</v>
      </c>
    </row>
    <row r="26" spans="1:30" s="35" customFormat="1" ht="15" customHeight="1">
      <c r="A26" s="42">
        <v>22</v>
      </c>
      <c r="B26" s="42">
        <v>22</v>
      </c>
      <c r="C26" s="42" t="s">
        <v>87</v>
      </c>
      <c r="D26" s="38" t="s">
        <v>133</v>
      </c>
      <c r="E26" s="42" t="s">
        <v>5</v>
      </c>
      <c r="F26" s="37">
        <v>1</v>
      </c>
      <c r="G26" s="172">
        <v>0</v>
      </c>
      <c r="H26" s="39">
        <v>0</v>
      </c>
      <c r="I26" s="199"/>
      <c r="J26" s="162">
        <v>0</v>
      </c>
      <c r="K26" s="39">
        <v>0</v>
      </c>
      <c r="L26" s="39">
        <v>0</v>
      </c>
      <c r="M26" s="39">
        <v>0</v>
      </c>
      <c r="N26" s="39">
        <v>0</v>
      </c>
      <c r="O26" s="39">
        <v>0</v>
      </c>
      <c r="P26" s="39">
        <v>0</v>
      </c>
      <c r="Q26" s="39">
        <v>0</v>
      </c>
      <c r="R26" s="39">
        <v>0</v>
      </c>
      <c r="S26" s="39">
        <v>0</v>
      </c>
      <c r="T26" s="42"/>
      <c r="U26" s="42"/>
      <c r="V26" s="105">
        <f t="shared" si="3"/>
        <v>1</v>
      </c>
      <c r="W26" s="141">
        <f t="shared" si="2"/>
        <v>0</v>
      </c>
      <c r="X26" s="42"/>
      <c r="Y26" s="42"/>
      <c r="Z26" s="42"/>
      <c r="AA26" s="42"/>
      <c r="AB26" s="354"/>
      <c r="AC26" s="355"/>
      <c r="AD26" s="144">
        <v>1</v>
      </c>
    </row>
    <row r="27" spans="1:30" s="35" customFormat="1" ht="15" customHeight="1">
      <c r="A27" s="42">
        <v>23</v>
      </c>
      <c r="B27" s="42">
        <v>23</v>
      </c>
      <c r="C27" s="42" t="s">
        <v>88</v>
      </c>
      <c r="D27" s="38" t="s">
        <v>132</v>
      </c>
      <c r="E27" s="42" t="s">
        <v>5</v>
      </c>
      <c r="F27" s="37">
        <v>1</v>
      </c>
      <c r="G27" s="172">
        <v>0</v>
      </c>
      <c r="H27" s="39">
        <v>0</v>
      </c>
      <c r="I27" s="199"/>
      <c r="J27" s="162">
        <v>0</v>
      </c>
      <c r="K27" s="39">
        <v>0</v>
      </c>
      <c r="L27" s="39">
        <v>0</v>
      </c>
      <c r="M27" s="39">
        <v>0</v>
      </c>
      <c r="N27" s="39">
        <v>0</v>
      </c>
      <c r="O27" s="39">
        <v>0</v>
      </c>
      <c r="P27" s="39">
        <v>0</v>
      </c>
      <c r="Q27" s="39">
        <v>0</v>
      </c>
      <c r="R27" s="39">
        <v>0</v>
      </c>
      <c r="S27" s="39">
        <v>0</v>
      </c>
      <c r="T27" s="42"/>
      <c r="U27" s="42"/>
      <c r="V27" s="105">
        <f t="shared" si="3"/>
        <v>1</v>
      </c>
      <c r="W27" s="141">
        <f t="shared" si="2"/>
        <v>0</v>
      </c>
      <c r="X27" s="42"/>
      <c r="Y27" s="42"/>
      <c r="Z27" s="42"/>
      <c r="AA27" s="42"/>
      <c r="AB27" s="354"/>
      <c r="AC27" s="355"/>
      <c r="AD27" s="144">
        <v>1</v>
      </c>
    </row>
    <row r="28" spans="1:30" s="35" customFormat="1" ht="15" customHeight="1">
      <c r="A28" s="42">
        <v>24</v>
      </c>
      <c r="B28" s="42">
        <v>24</v>
      </c>
      <c r="C28" s="42" t="s">
        <v>89</v>
      </c>
      <c r="D28" s="38" t="s">
        <v>132</v>
      </c>
      <c r="E28" s="42" t="s">
        <v>5</v>
      </c>
      <c r="F28" s="37">
        <v>1</v>
      </c>
      <c r="G28" s="172">
        <v>0</v>
      </c>
      <c r="H28" s="39">
        <v>0</v>
      </c>
      <c r="I28" s="199"/>
      <c r="J28" s="162">
        <v>0</v>
      </c>
      <c r="K28" s="39">
        <v>0</v>
      </c>
      <c r="L28" s="39">
        <v>0</v>
      </c>
      <c r="M28" s="39">
        <v>0</v>
      </c>
      <c r="N28" s="39">
        <v>0</v>
      </c>
      <c r="O28" s="39">
        <v>0</v>
      </c>
      <c r="P28" s="39">
        <v>0</v>
      </c>
      <c r="Q28" s="39">
        <v>0</v>
      </c>
      <c r="R28" s="39">
        <v>0</v>
      </c>
      <c r="S28" s="39">
        <v>0</v>
      </c>
      <c r="T28" s="42"/>
      <c r="U28" s="42"/>
      <c r="V28" s="105">
        <f t="shared" si="3"/>
        <v>1</v>
      </c>
      <c r="W28" s="141">
        <f t="shared" si="2"/>
        <v>0</v>
      </c>
      <c r="X28" s="42"/>
      <c r="Y28" s="42"/>
      <c r="Z28" s="42"/>
      <c r="AA28" s="42"/>
      <c r="AB28" s="354"/>
      <c r="AC28" s="355"/>
      <c r="AD28" s="144">
        <v>1</v>
      </c>
    </row>
    <row r="29" spans="1:30" s="35" customFormat="1" ht="15" customHeight="1">
      <c r="A29" s="42">
        <v>25</v>
      </c>
      <c r="B29" s="42">
        <v>25</v>
      </c>
      <c r="C29" s="42" t="s">
        <v>90</v>
      </c>
      <c r="D29" s="38" t="s">
        <v>132</v>
      </c>
      <c r="E29" s="42" t="s">
        <v>5</v>
      </c>
      <c r="F29" s="37">
        <v>1</v>
      </c>
      <c r="G29" s="172">
        <v>0</v>
      </c>
      <c r="H29" s="39">
        <v>0</v>
      </c>
      <c r="I29" s="199"/>
      <c r="J29" s="162">
        <v>0</v>
      </c>
      <c r="K29" s="39">
        <v>0</v>
      </c>
      <c r="L29" s="39">
        <v>0</v>
      </c>
      <c r="M29" s="39">
        <v>0</v>
      </c>
      <c r="N29" s="39">
        <v>0</v>
      </c>
      <c r="O29" s="39">
        <v>0</v>
      </c>
      <c r="P29" s="39">
        <v>0</v>
      </c>
      <c r="Q29" s="39">
        <v>0</v>
      </c>
      <c r="R29" s="39">
        <v>0</v>
      </c>
      <c r="S29" s="39">
        <v>0</v>
      </c>
      <c r="T29" s="42"/>
      <c r="U29" s="42"/>
      <c r="V29" s="105">
        <f t="shared" si="3"/>
        <v>1</v>
      </c>
      <c r="W29" s="141">
        <f t="shared" si="2"/>
        <v>0</v>
      </c>
      <c r="X29" s="42"/>
      <c r="Y29" s="42"/>
      <c r="Z29" s="42"/>
      <c r="AA29" s="42"/>
      <c r="AB29" s="354"/>
      <c r="AC29" s="355"/>
      <c r="AD29" s="144">
        <v>1</v>
      </c>
    </row>
    <row r="30" spans="1:30" s="35" customFormat="1" ht="15" customHeight="1">
      <c r="A30" s="42">
        <v>26</v>
      </c>
      <c r="B30" s="42">
        <v>26</v>
      </c>
      <c r="C30" s="42" t="s">
        <v>91</v>
      </c>
      <c r="D30" s="38" t="s">
        <v>132</v>
      </c>
      <c r="E30" s="42" t="s">
        <v>5</v>
      </c>
      <c r="F30" s="37">
        <v>1</v>
      </c>
      <c r="G30" s="172">
        <v>0</v>
      </c>
      <c r="H30" s="39">
        <v>0</v>
      </c>
      <c r="I30" s="199"/>
      <c r="J30" s="162">
        <v>0</v>
      </c>
      <c r="K30" s="39">
        <v>0</v>
      </c>
      <c r="L30" s="39">
        <v>0</v>
      </c>
      <c r="M30" s="39">
        <v>0</v>
      </c>
      <c r="N30" s="39">
        <v>0</v>
      </c>
      <c r="O30" s="39">
        <v>0</v>
      </c>
      <c r="P30" s="39">
        <v>0</v>
      </c>
      <c r="Q30" s="39">
        <v>0</v>
      </c>
      <c r="R30" s="39">
        <v>0</v>
      </c>
      <c r="S30" s="39">
        <v>0</v>
      </c>
      <c r="T30" s="42"/>
      <c r="U30" s="42"/>
      <c r="V30" s="105">
        <f t="shared" si="3"/>
        <v>1</v>
      </c>
      <c r="W30" s="141">
        <f t="shared" si="2"/>
        <v>0</v>
      </c>
      <c r="X30" s="42"/>
      <c r="Y30" s="42"/>
      <c r="Z30" s="42"/>
      <c r="AA30" s="42"/>
      <c r="AB30" s="354"/>
      <c r="AC30" s="355"/>
      <c r="AD30" s="144">
        <v>1</v>
      </c>
    </row>
    <row r="31" spans="1:30" s="35" customFormat="1" ht="15" customHeight="1">
      <c r="A31" s="42">
        <v>27</v>
      </c>
      <c r="B31" s="42">
        <v>27</v>
      </c>
      <c r="C31" s="42" t="s">
        <v>92</v>
      </c>
      <c r="D31" s="38" t="s">
        <v>132</v>
      </c>
      <c r="E31" s="42" t="s">
        <v>5</v>
      </c>
      <c r="F31" s="37">
        <v>1</v>
      </c>
      <c r="G31" s="172">
        <v>0</v>
      </c>
      <c r="H31" s="39">
        <v>0</v>
      </c>
      <c r="I31" s="199"/>
      <c r="J31" s="162">
        <v>0</v>
      </c>
      <c r="K31" s="39">
        <v>0</v>
      </c>
      <c r="L31" s="39">
        <v>0</v>
      </c>
      <c r="M31" s="39">
        <v>0</v>
      </c>
      <c r="N31" s="39">
        <v>0</v>
      </c>
      <c r="O31" s="39">
        <v>0</v>
      </c>
      <c r="P31" s="39">
        <v>0</v>
      </c>
      <c r="Q31" s="39">
        <v>0</v>
      </c>
      <c r="R31" s="39">
        <v>0</v>
      </c>
      <c r="S31" s="39">
        <v>0</v>
      </c>
      <c r="T31" s="42"/>
      <c r="U31" s="42"/>
      <c r="V31" s="105">
        <f t="shared" si="3"/>
        <v>1</v>
      </c>
      <c r="W31" s="141">
        <f t="shared" si="2"/>
        <v>0</v>
      </c>
      <c r="X31" s="42"/>
      <c r="Y31" s="42"/>
      <c r="Z31" s="42"/>
      <c r="AA31" s="42"/>
      <c r="AB31" s="354"/>
      <c r="AC31" s="355"/>
      <c r="AD31" s="144">
        <v>1</v>
      </c>
    </row>
    <row r="32" spans="1:30" s="35" customFormat="1" ht="15" customHeight="1">
      <c r="A32" s="42">
        <v>28</v>
      </c>
      <c r="B32" s="42">
        <v>28</v>
      </c>
      <c r="C32" s="42" t="s">
        <v>93</v>
      </c>
      <c r="D32" s="38" t="s">
        <v>132</v>
      </c>
      <c r="E32" s="42" t="s">
        <v>5</v>
      </c>
      <c r="F32" s="37">
        <v>1</v>
      </c>
      <c r="G32" s="172">
        <v>0</v>
      </c>
      <c r="H32" s="39">
        <v>0</v>
      </c>
      <c r="I32" s="199"/>
      <c r="J32" s="162">
        <v>0</v>
      </c>
      <c r="K32" s="39">
        <v>0</v>
      </c>
      <c r="L32" s="39">
        <v>0</v>
      </c>
      <c r="M32" s="39">
        <v>0</v>
      </c>
      <c r="N32" s="39">
        <v>0</v>
      </c>
      <c r="O32" s="39">
        <v>0</v>
      </c>
      <c r="P32" s="39">
        <v>0</v>
      </c>
      <c r="Q32" s="39">
        <v>0</v>
      </c>
      <c r="R32" s="39">
        <v>0</v>
      </c>
      <c r="S32" s="39">
        <v>0</v>
      </c>
      <c r="T32" s="42"/>
      <c r="U32" s="42"/>
      <c r="V32" s="105">
        <f t="shared" si="3"/>
        <v>1</v>
      </c>
      <c r="W32" s="141">
        <f t="shared" si="2"/>
        <v>0</v>
      </c>
      <c r="X32" s="42"/>
      <c r="Y32" s="42"/>
      <c r="Z32" s="42"/>
      <c r="AA32" s="42"/>
      <c r="AB32" s="354"/>
      <c r="AC32" s="355"/>
      <c r="AD32" s="144">
        <v>1</v>
      </c>
    </row>
    <row r="33" spans="1:30" s="35" customFormat="1" ht="15" customHeight="1">
      <c r="A33" s="42">
        <v>29</v>
      </c>
      <c r="B33" s="42">
        <v>29</v>
      </c>
      <c r="C33" s="42" t="s">
        <v>94</v>
      </c>
      <c r="D33" s="38" t="s">
        <v>132</v>
      </c>
      <c r="E33" s="42" t="s">
        <v>5</v>
      </c>
      <c r="F33" s="37">
        <v>1</v>
      </c>
      <c r="G33" s="172">
        <v>0</v>
      </c>
      <c r="H33" s="39">
        <v>0</v>
      </c>
      <c r="I33" s="199"/>
      <c r="J33" s="162">
        <v>0</v>
      </c>
      <c r="K33" s="39">
        <v>0</v>
      </c>
      <c r="L33" s="39">
        <v>0</v>
      </c>
      <c r="M33" s="39">
        <v>0</v>
      </c>
      <c r="N33" s="39">
        <v>0</v>
      </c>
      <c r="O33" s="39">
        <v>0</v>
      </c>
      <c r="P33" s="39">
        <v>0</v>
      </c>
      <c r="Q33" s="39">
        <v>0</v>
      </c>
      <c r="R33" s="39">
        <v>0</v>
      </c>
      <c r="S33" s="39">
        <v>0</v>
      </c>
      <c r="T33" s="42"/>
      <c r="U33" s="42"/>
      <c r="V33" s="105">
        <f t="shared" si="3"/>
        <v>1</v>
      </c>
      <c r="W33" s="141">
        <f t="shared" si="2"/>
        <v>0</v>
      </c>
      <c r="X33" s="42"/>
      <c r="Y33" s="42"/>
      <c r="Z33" s="42"/>
      <c r="AA33" s="42"/>
      <c r="AB33" s="354"/>
      <c r="AC33" s="355"/>
      <c r="AD33" s="144">
        <v>1</v>
      </c>
    </row>
    <row r="34" spans="1:30" s="35" customFormat="1" ht="15" customHeight="1">
      <c r="A34" s="42">
        <v>30</v>
      </c>
      <c r="B34" s="42">
        <v>30</v>
      </c>
      <c r="C34" s="42" t="s">
        <v>95</v>
      </c>
      <c r="D34" s="44" t="s">
        <v>134</v>
      </c>
      <c r="E34" s="42" t="s">
        <v>5</v>
      </c>
      <c r="F34" s="37">
        <v>1</v>
      </c>
      <c r="G34" s="172">
        <v>0</v>
      </c>
      <c r="H34" s="39">
        <v>0</v>
      </c>
      <c r="I34" s="199"/>
      <c r="J34" s="162">
        <v>0</v>
      </c>
      <c r="K34" s="39">
        <v>0</v>
      </c>
      <c r="L34" s="39">
        <v>0</v>
      </c>
      <c r="M34" s="39">
        <v>0</v>
      </c>
      <c r="N34" s="39">
        <v>0</v>
      </c>
      <c r="O34" s="39">
        <v>0</v>
      </c>
      <c r="P34" s="39">
        <v>0</v>
      </c>
      <c r="Q34" s="39">
        <v>0</v>
      </c>
      <c r="R34" s="39">
        <v>0</v>
      </c>
      <c r="S34" s="39">
        <v>0</v>
      </c>
      <c r="T34" s="42"/>
      <c r="U34" s="42"/>
      <c r="V34" s="105">
        <f t="shared" si="3"/>
        <v>1</v>
      </c>
      <c r="W34" s="141">
        <f t="shared" si="2"/>
        <v>0</v>
      </c>
      <c r="X34" s="42"/>
      <c r="Y34" s="42"/>
      <c r="Z34" s="42"/>
      <c r="AA34" s="42"/>
      <c r="AB34" s="354"/>
      <c r="AC34" s="355"/>
      <c r="AD34" s="144">
        <v>1</v>
      </c>
    </row>
    <row r="35" spans="1:30" s="35" customFormat="1" ht="15" customHeight="1">
      <c r="A35" s="42">
        <v>31</v>
      </c>
      <c r="B35" s="42">
        <v>31</v>
      </c>
      <c r="C35" s="42" t="s">
        <v>96</v>
      </c>
      <c r="D35" s="44" t="s">
        <v>134</v>
      </c>
      <c r="E35" s="42" t="s">
        <v>5</v>
      </c>
      <c r="F35" s="37">
        <v>1</v>
      </c>
      <c r="G35" s="172">
        <v>0</v>
      </c>
      <c r="H35" s="39">
        <v>0</v>
      </c>
      <c r="I35" s="199"/>
      <c r="J35" s="162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39">
        <v>0</v>
      </c>
      <c r="Q35" s="39">
        <v>0</v>
      </c>
      <c r="R35" s="39">
        <v>0</v>
      </c>
      <c r="S35" s="39">
        <v>0</v>
      </c>
      <c r="T35" s="42"/>
      <c r="U35" s="42"/>
      <c r="V35" s="105">
        <f t="shared" si="3"/>
        <v>1</v>
      </c>
      <c r="W35" s="141">
        <f t="shared" si="2"/>
        <v>0</v>
      </c>
      <c r="X35" s="42"/>
      <c r="Y35" s="42"/>
      <c r="Z35" s="42"/>
      <c r="AA35" s="42"/>
      <c r="AB35" s="354"/>
      <c r="AC35" s="355"/>
      <c r="AD35" s="144">
        <v>1</v>
      </c>
    </row>
    <row r="36" spans="1:30" s="35" customFormat="1" ht="15" customHeight="1">
      <c r="A36" s="42">
        <v>32</v>
      </c>
      <c r="B36" s="42">
        <v>32</v>
      </c>
      <c r="C36" s="42" t="s">
        <v>97</v>
      </c>
      <c r="D36" s="38" t="s">
        <v>135</v>
      </c>
      <c r="E36" s="42" t="s">
        <v>5</v>
      </c>
      <c r="F36" s="37">
        <v>1</v>
      </c>
      <c r="G36" s="172">
        <v>0</v>
      </c>
      <c r="H36" s="39">
        <v>0</v>
      </c>
      <c r="I36" s="199"/>
      <c r="J36" s="162">
        <v>0</v>
      </c>
      <c r="K36" s="39">
        <v>0</v>
      </c>
      <c r="L36" s="39">
        <v>0</v>
      </c>
      <c r="M36" s="39">
        <v>0</v>
      </c>
      <c r="N36" s="39">
        <v>0</v>
      </c>
      <c r="O36" s="39">
        <v>0</v>
      </c>
      <c r="P36" s="39">
        <v>0</v>
      </c>
      <c r="Q36" s="39">
        <v>0</v>
      </c>
      <c r="R36" s="39">
        <v>0</v>
      </c>
      <c r="S36" s="39">
        <v>0</v>
      </c>
      <c r="T36" s="42"/>
      <c r="U36" s="42"/>
      <c r="V36" s="105">
        <f t="shared" si="3"/>
        <v>1</v>
      </c>
      <c r="W36" s="141">
        <f t="shared" si="2"/>
        <v>0</v>
      </c>
      <c r="X36" s="42"/>
      <c r="Y36" s="42"/>
      <c r="Z36" s="42"/>
      <c r="AA36" s="42"/>
      <c r="AB36" s="354"/>
      <c r="AC36" s="355"/>
      <c r="AD36" s="144">
        <v>1</v>
      </c>
    </row>
    <row r="37" spans="1:30" s="35" customFormat="1" ht="15" customHeight="1">
      <c r="A37" s="42">
        <v>33</v>
      </c>
      <c r="B37" s="42">
        <v>33</v>
      </c>
      <c r="C37" s="42" t="s">
        <v>98</v>
      </c>
      <c r="D37" s="44" t="s">
        <v>136</v>
      </c>
      <c r="E37" s="42" t="s">
        <v>5</v>
      </c>
      <c r="F37" s="37">
        <v>1</v>
      </c>
      <c r="G37" s="172">
        <v>0</v>
      </c>
      <c r="H37" s="39">
        <v>0</v>
      </c>
      <c r="I37" s="199"/>
      <c r="J37" s="162">
        <v>0</v>
      </c>
      <c r="K37" s="39">
        <v>0</v>
      </c>
      <c r="L37" s="39">
        <v>0</v>
      </c>
      <c r="M37" s="39">
        <v>0</v>
      </c>
      <c r="N37" s="39">
        <v>0</v>
      </c>
      <c r="O37" s="39">
        <v>0</v>
      </c>
      <c r="P37" s="39">
        <v>0</v>
      </c>
      <c r="Q37" s="39">
        <v>0</v>
      </c>
      <c r="R37" s="39">
        <v>0</v>
      </c>
      <c r="S37" s="39">
        <v>0</v>
      </c>
      <c r="T37" s="42"/>
      <c r="U37" s="42"/>
      <c r="V37" s="105">
        <f t="shared" si="3"/>
        <v>1</v>
      </c>
      <c r="W37" s="141">
        <f t="shared" si="2"/>
        <v>0</v>
      </c>
      <c r="X37" s="42"/>
      <c r="Y37" s="42"/>
      <c r="Z37" s="42"/>
      <c r="AA37" s="42"/>
      <c r="AB37" s="354"/>
      <c r="AC37" s="355"/>
      <c r="AD37" s="144">
        <v>1</v>
      </c>
    </row>
    <row r="38" spans="1:30" s="143" customFormat="1" ht="15" customHeight="1">
      <c r="A38" s="39">
        <v>34</v>
      </c>
      <c r="B38" s="39">
        <v>34</v>
      </c>
      <c r="C38" s="39" t="s">
        <v>99</v>
      </c>
      <c r="D38" s="163" t="s">
        <v>624</v>
      </c>
      <c r="E38" s="39" t="s">
        <v>5</v>
      </c>
      <c r="F38" s="169">
        <v>1</v>
      </c>
      <c r="G38" s="173">
        <v>0</v>
      </c>
      <c r="H38" s="167">
        <v>0</v>
      </c>
      <c r="I38" s="199"/>
      <c r="J38" s="274">
        <v>1</v>
      </c>
      <c r="K38" s="167">
        <v>0</v>
      </c>
      <c r="L38" s="167">
        <v>0</v>
      </c>
      <c r="M38" s="167">
        <v>0</v>
      </c>
      <c r="N38" s="167">
        <v>0</v>
      </c>
      <c r="O38" s="167">
        <v>0</v>
      </c>
      <c r="P38" s="167">
        <v>0</v>
      </c>
      <c r="Q38" s="167">
        <v>0</v>
      </c>
      <c r="R38" s="167">
        <v>0</v>
      </c>
      <c r="S38" s="167">
        <v>1</v>
      </c>
      <c r="T38" s="225" t="s">
        <v>572</v>
      </c>
      <c r="U38" s="215" t="s">
        <v>564</v>
      </c>
      <c r="V38" s="105">
        <f>F38+G38+J38+K38+L38+M38+N38+O38+P38+Q38-S38</f>
        <v>1</v>
      </c>
      <c r="W38" s="169">
        <f t="shared" ref="W38:W54" si="4">F38+J38-S38-V38</f>
        <v>0</v>
      </c>
      <c r="X38" s="229" t="s">
        <v>565</v>
      </c>
      <c r="Y38" s="229"/>
      <c r="Z38" s="167" t="s">
        <v>673</v>
      </c>
      <c r="AA38" s="167" t="s">
        <v>669</v>
      </c>
      <c r="AB38" s="356" t="s">
        <v>610</v>
      </c>
      <c r="AC38" s="357"/>
      <c r="AD38" s="144">
        <v>1</v>
      </c>
    </row>
    <row r="39" spans="1:30" s="35" customFormat="1" ht="15" customHeight="1">
      <c r="A39" s="42">
        <v>35</v>
      </c>
      <c r="B39" s="42">
        <v>35</v>
      </c>
      <c r="C39" s="42" t="s">
        <v>100</v>
      </c>
      <c r="D39" s="38" t="s">
        <v>137</v>
      </c>
      <c r="E39" s="42" t="s">
        <v>5</v>
      </c>
      <c r="F39" s="37">
        <v>1</v>
      </c>
      <c r="G39" s="172">
        <v>0</v>
      </c>
      <c r="H39" s="39">
        <v>0</v>
      </c>
      <c r="I39" s="199"/>
      <c r="J39" s="162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39">
        <v>0</v>
      </c>
      <c r="Q39" s="39">
        <v>0</v>
      </c>
      <c r="R39" s="39">
        <v>0</v>
      </c>
      <c r="S39" s="39">
        <v>0</v>
      </c>
      <c r="T39" s="42"/>
      <c r="U39" s="42"/>
      <c r="V39" s="105">
        <f t="shared" ref="V39:V54" si="5">F39+G39+J39+K39+L39+M39+N39+O39-S39</f>
        <v>1</v>
      </c>
      <c r="W39" s="141">
        <f t="shared" si="4"/>
        <v>0</v>
      </c>
      <c r="X39" s="42"/>
      <c r="Y39" s="42"/>
      <c r="Z39" s="42"/>
      <c r="AA39" s="42"/>
      <c r="AB39" s="354"/>
      <c r="AC39" s="355"/>
      <c r="AD39" s="144">
        <v>1</v>
      </c>
    </row>
    <row r="40" spans="1:30" s="35" customFormat="1" ht="15" customHeight="1">
      <c r="A40" s="42">
        <v>36</v>
      </c>
      <c r="B40" s="42">
        <v>36</v>
      </c>
      <c r="C40" s="42" t="s">
        <v>101</v>
      </c>
      <c r="D40" s="38" t="s">
        <v>131</v>
      </c>
      <c r="E40" s="42" t="s">
        <v>5</v>
      </c>
      <c r="F40" s="37">
        <v>1</v>
      </c>
      <c r="G40" s="172">
        <v>0</v>
      </c>
      <c r="H40" s="39">
        <v>0</v>
      </c>
      <c r="I40" s="199"/>
      <c r="J40" s="162">
        <v>0</v>
      </c>
      <c r="K40" s="39">
        <v>0</v>
      </c>
      <c r="L40" s="39">
        <v>0</v>
      </c>
      <c r="M40" s="39">
        <v>0</v>
      </c>
      <c r="N40" s="39">
        <v>0</v>
      </c>
      <c r="O40" s="39">
        <v>0</v>
      </c>
      <c r="P40" s="39">
        <v>0</v>
      </c>
      <c r="Q40" s="39">
        <v>0</v>
      </c>
      <c r="R40" s="39">
        <v>0</v>
      </c>
      <c r="S40" s="39">
        <v>0</v>
      </c>
      <c r="T40" s="42"/>
      <c r="U40" s="42"/>
      <c r="V40" s="105">
        <f t="shared" si="5"/>
        <v>1</v>
      </c>
      <c r="W40" s="141">
        <f t="shared" si="4"/>
        <v>0</v>
      </c>
      <c r="X40" s="42"/>
      <c r="Y40" s="42"/>
      <c r="Z40" s="42"/>
      <c r="AA40" s="42"/>
      <c r="AB40" s="354"/>
      <c r="AC40" s="355"/>
      <c r="AD40" s="232">
        <v>2</v>
      </c>
    </row>
    <row r="41" spans="1:30" s="35" customFormat="1" ht="15" customHeight="1">
      <c r="A41" s="42">
        <v>37</v>
      </c>
      <c r="B41" s="42">
        <v>37</v>
      </c>
      <c r="C41" s="42" t="s">
        <v>102</v>
      </c>
      <c r="D41" s="38" t="s">
        <v>138</v>
      </c>
      <c r="E41" s="42" t="s">
        <v>5</v>
      </c>
      <c r="F41" s="37">
        <v>1</v>
      </c>
      <c r="G41" s="172">
        <v>0</v>
      </c>
      <c r="H41" s="39">
        <v>0</v>
      </c>
      <c r="I41" s="199"/>
      <c r="J41" s="162">
        <v>0</v>
      </c>
      <c r="K41" s="39">
        <v>0</v>
      </c>
      <c r="L41" s="39">
        <v>0</v>
      </c>
      <c r="M41" s="39">
        <v>0</v>
      </c>
      <c r="N41" s="39">
        <v>0</v>
      </c>
      <c r="O41" s="39">
        <v>0</v>
      </c>
      <c r="P41" s="39">
        <v>0</v>
      </c>
      <c r="Q41" s="39">
        <v>0</v>
      </c>
      <c r="R41" s="39">
        <v>0</v>
      </c>
      <c r="S41" s="39">
        <v>0</v>
      </c>
      <c r="T41" s="42"/>
      <c r="U41" s="42"/>
      <c r="V41" s="105">
        <f t="shared" si="5"/>
        <v>1</v>
      </c>
      <c r="W41" s="141">
        <f t="shared" si="4"/>
        <v>0</v>
      </c>
      <c r="X41" s="42"/>
      <c r="Y41" s="42"/>
      <c r="Z41" s="42"/>
      <c r="AA41" s="42"/>
      <c r="AB41" s="354"/>
      <c r="AC41" s="355"/>
      <c r="AD41" s="232">
        <v>2</v>
      </c>
    </row>
    <row r="42" spans="1:30" s="35" customFormat="1" ht="15" customHeight="1">
      <c r="A42" s="42">
        <v>38</v>
      </c>
      <c r="B42" s="42">
        <v>38</v>
      </c>
      <c r="C42" s="42" t="s">
        <v>103</v>
      </c>
      <c r="D42" s="38" t="s">
        <v>138</v>
      </c>
      <c r="E42" s="42" t="s">
        <v>5</v>
      </c>
      <c r="F42" s="37">
        <v>1</v>
      </c>
      <c r="G42" s="172">
        <v>0</v>
      </c>
      <c r="H42" s="39">
        <v>0</v>
      </c>
      <c r="I42" s="199"/>
      <c r="J42" s="162">
        <v>0</v>
      </c>
      <c r="K42" s="39">
        <v>0</v>
      </c>
      <c r="L42" s="39">
        <v>0</v>
      </c>
      <c r="M42" s="39">
        <v>0</v>
      </c>
      <c r="N42" s="39">
        <v>0</v>
      </c>
      <c r="O42" s="39">
        <v>0</v>
      </c>
      <c r="P42" s="39">
        <v>0</v>
      </c>
      <c r="Q42" s="39">
        <v>0</v>
      </c>
      <c r="R42" s="39">
        <v>0</v>
      </c>
      <c r="S42" s="39">
        <v>0</v>
      </c>
      <c r="T42" s="42"/>
      <c r="U42" s="42"/>
      <c r="V42" s="105">
        <f t="shared" si="5"/>
        <v>1</v>
      </c>
      <c r="W42" s="141">
        <f t="shared" si="4"/>
        <v>0</v>
      </c>
      <c r="X42" s="42"/>
      <c r="Y42" s="42"/>
      <c r="Z42" s="42"/>
      <c r="AA42" s="42"/>
      <c r="AB42" s="354"/>
      <c r="AC42" s="355"/>
      <c r="AD42" s="232">
        <v>2</v>
      </c>
    </row>
    <row r="43" spans="1:30" s="35" customFormat="1" ht="15" customHeight="1">
      <c r="A43" s="42">
        <v>39</v>
      </c>
      <c r="B43" s="42">
        <v>39</v>
      </c>
      <c r="C43" s="42" t="s">
        <v>104</v>
      </c>
      <c r="D43" s="38" t="s">
        <v>138</v>
      </c>
      <c r="E43" s="42" t="s">
        <v>5</v>
      </c>
      <c r="F43" s="37">
        <v>1</v>
      </c>
      <c r="G43" s="172">
        <v>0</v>
      </c>
      <c r="H43" s="39">
        <v>0</v>
      </c>
      <c r="I43" s="199"/>
      <c r="J43" s="162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42"/>
      <c r="U43" s="42"/>
      <c r="V43" s="105">
        <f t="shared" si="5"/>
        <v>1</v>
      </c>
      <c r="W43" s="141">
        <f t="shared" si="4"/>
        <v>0</v>
      </c>
      <c r="X43" s="42"/>
      <c r="Y43" s="42"/>
      <c r="Z43" s="42"/>
      <c r="AA43" s="42"/>
      <c r="AB43" s="354"/>
      <c r="AC43" s="355"/>
      <c r="AD43" s="232">
        <v>2</v>
      </c>
    </row>
    <row r="44" spans="1:30" s="35" customFormat="1" ht="15" customHeight="1">
      <c r="A44" s="42">
        <v>40</v>
      </c>
      <c r="B44" s="42">
        <v>40</v>
      </c>
      <c r="C44" s="42" t="s">
        <v>105</v>
      </c>
      <c r="D44" s="38" t="s">
        <v>138</v>
      </c>
      <c r="E44" s="42" t="s">
        <v>5</v>
      </c>
      <c r="F44" s="37">
        <v>1</v>
      </c>
      <c r="G44" s="172">
        <v>0</v>
      </c>
      <c r="H44" s="39">
        <v>0</v>
      </c>
      <c r="I44" s="199"/>
      <c r="J44" s="162">
        <v>0</v>
      </c>
      <c r="K44" s="39">
        <v>0</v>
      </c>
      <c r="L44" s="39">
        <v>0</v>
      </c>
      <c r="M44" s="39">
        <v>0</v>
      </c>
      <c r="N44" s="39">
        <v>0</v>
      </c>
      <c r="O44" s="39">
        <v>0</v>
      </c>
      <c r="P44" s="39">
        <v>0</v>
      </c>
      <c r="Q44" s="39">
        <v>0</v>
      </c>
      <c r="R44" s="39">
        <v>0</v>
      </c>
      <c r="S44" s="39">
        <v>0</v>
      </c>
      <c r="T44" s="42"/>
      <c r="U44" s="42"/>
      <c r="V44" s="105">
        <f t="shared" si="5"/>
        <v>1</v>
      </c>
      <c r="W44" s="141">
        <f t="shared" si="4"/>
        <v>0</v>
      </c>
      <c r="X44" s="42"/>
      <c r="Y44" s="42"/>
      <c r="Z44" s="42"/>
      <c r="AA44" s="42"/>
      <c r="AB44" s="354"/>
      <c r="AC44" s="355"/>
      <c r="AD44" s="232">
        <v>2</v>
      </c>
    </row>
    <row r="45" spans="1:30" s="35" customFormat="1" ht="15" customHeight="1">
      <c r="A45" s="42">
        <v>41</v>
      </c>
      <c r="B45" s="42">
        <v>41</v>
      </c>
      <c r="C45" s="42" t="s">
        <v>106</v>
      </c>
      <c r="D45" s="38" t="s">
        <v>138</v>
      </c>
      <c r="E45" s="42" t="s">
        <v>5</v>
      </c>
      <c r="F45" s="37">
        <v>1</v>
      </c>
      <c r="G45" s="172">
        <v>0</v>
      </c>
      <c r="H45" s="39">
        <v>0</v>
      </c>
      <c r="I45" s="199"/>
      <c r="J45" s="162">
        <v>0</v>
      </c>
      <c r="K45" s="39">
        <v>0</v>
      </c>
      <c r="L45" s="39">
        <v>0</v>
      </c>
      <c r="M45" s="39">
        <v>0</v>
      </c>
      <c r="N45" s="39">
        <v>0</v>
      </c>
      <c r="O45" s="39">
        <v>0</v>
      </c>
      <c r="P45" s="39">
        <v>0</v>
      </c>
      <c r="Q45" s="39">
        <v>0</v>
      </c>
      <c r="R45" s="39">
        <v>0</v>
      </c>
      <c r="S45" s="39">
        <v>0</v>
      </c>
      <c r="T45" s="42"/>
      <c r="U45" s="42"/>
      <c r="V45" s="105">
        <f t="shared" si="5"/>
        <v>1</v>
      </c>
      <c r="W45" s="141">
        <f t="shared" si="4"/>
        <v>0</v>
      </c>
      <c r="X45" s="42"/>
      <c r="Y45" s="42"/>
      <c r="Z45" s="42"/>
      <c r="AA45" s="42"/>
      <c r="AB45" s="354"/>
      <c r="AC45" s="355"/>
      <c r="AD45" s="232">
        <v>2</v>
      </c>
    </row>
    <row r="46" spans="1:30" s="35" customFormat="1" ht="15" customHeight="1">
      <c r="A46" s="42">
        <v>42</v>
      </c>
      <c r="B46" s="42">
        <v>42</v>
      </c>
      <c r="C46" s="42" t="s">
        <v>107</v>
      </c>
      <c r="D46" s="38" t="s">
        <v>139</v>
      </c>
      <c r="E46" s="42" t="s">
        <v>5</v>
      </c>
      <c r="F46" s="37">
        <v>1</v>
      </c>
      <c r="G46" s="172">
        <v>0</v>
      </c>
      <c r="H46" s="39">
        <v>0</v>
      </c>
      <c r="I46" s="199"/>
      <c r="J46" s="162">
        <v>0</v>
      </c>
      <c r="K46" s="39">
        <v>0</v>
      </c>
      <c r="L46" s="39">
        <v>0</v>
      </c>
      <c r="M46" s="39">
        <v>0</v>
      </c>
      <c r="N46" s="39">
        <v>0</v>
      </c>
      <c r="O46" s="39">
        <v>0</v>
      </c>
      <c r="P46" s="39">
        <v>0</v>
      </c>
      <c r="Q46" s="39">
        <v>0</v>
      </c>
      <c r="R46" s="39">
        <v>0</v>
      </c>
      <c r="S46" s="39">
        <v>0</v>
      </c>
      <c r="T46" s="42"/>
      <c r="U46" s="42"/>
      <c r="V46" s="105">
        <f t="shared" si="5"/>
        <v>1</v>
      </c>
      <c r="W46" s="141">
        <f t="shared" si="4"/>
        <v>0</v>
      </c>
      <c r="X46" s="42"/>
      <c r="Y46" s="42"/>
      <c r="Z46" s="42"/>
      <c r="AA46" s="42"/>
      <c r="AB46" s="354"/>
      <c r="AC46" s="355"/>
      <c r="AD46" s="144">
        <v>1</v>
      </c>
    </row>
    <row r="47" spans="1:30" s="35" customFormat="1" ht="15" customHeight="1">
      <c r="A47" s="42">
        <v>43</v>
      </c>
      <c r="B47" s="42">
        <v>43</v>
      </c>
      <c r="C47" s="42" t="s">
        <v>108</v>
      </c>
      <c r="D47" s="38" t="s">
        <v>139</v>
      </c>
      <c r="E47" s="42" t="s">
        <v>5</v>
      </c>
      <c r="F47" s="37">
        <v>1</v>
      </c>
      <c r="G47" s="172">
        <v>0</v>
      </c>
      <c r="H47" s="39">
        <v>0</v>
      </c>
      <c r="I47" s="199"/>
      <c r="J47" s="162">
        <v>0</v>
      </c>
      <c r="K47" s="39">
        <v>0</v>
      </c>
      <c r="L47" s="39">
        <v>0</v>
      </c>
      <c r="M47" s="39">
        <v>0</v>
      </c>
      <c r="N47" s="39">
        <v>0</v>
      </c>
      <c r="O47" s="39">
        <v>0</v>
      </c>
      <c r="P47" s="39">
        <v>0</v>
      </c>
      <c r="Q47" s="39">
        <v>0</v>
      </c>
      <c r="R47" s="39">
        <v>0</v>
      </c>
      <c r="S47" s="39">
        <v>0</v>
      </c>
      <c r="T47" s="42"/>
      <c r="U47" s="42"/>
      <c r="V47" s="105">
        <f t="shared" si="5"/>
        <v>1</v>
      </c>
      <c r="W47" s="141">
        <f t="shared" si="4"/>
        <v>0</v>
      </c>
      <c r="X47" s="42"/>
      <c r="Y47" s="42"/>
      <c r="Z47" s="42"/>
      <c r="AA47" s="42"/>
      <c r="AB47" s="354"/>
      <c r="AC47" s="355"/>
      <c r="AD47" s="144">
        <v>1</v>
      </c>
    </row>
    <row r="48" spans="1:30" s="35" customFormat="1" ht="15" customHeight="1">
      <c r="A48" s="42">
        <v>44</v>
      </c>
      <c r="B48" s="42">
        <v>44</v>
      </c>
      <c r="C48" s="42" t="s">
        <v>109</v>
      </c>
      <c r="D48" s="44" t="s">
        <v>140</v>
      </c>
      <c r="E48" s="42" t="s">
        <v>5</v>
      </c>
      <c r="F48" s="37">
        <v>1</v>
      </c>
      <c r="G48" s="172">
        <v>0</v>
      </c>
      <c r="H48" s="39">
        <v>0</v>
      </c>
      <c r="I48" s="199"/>
      <c r="J48" s="162">
        <v>0</v>
      </c>
      <c r="K48" s="39">
        <v>0</v>
      </c>
      <c r="L48" s="39">
        <v>0</v>
      </c>
      <c r="M48" s="39">
        <v>0</v>
      </c>
      <c r="N48" s="39">
        <v>0</v>
      </c>
      <c r="O48" s="39">
        <v>0</v>
      </c>
      <c r="P48" s="39">
        <v>0</v>
      </c>
      <c r="Q48" s="39">
        <v>0</v>
      </c>
      <c r="R48" s="39">
        <v>0</v>
      </c>
      <c r="S48" s="39">
        <v>0</v>
      </c>
      <c r="T48" s="42"/>
      <c r="U48" s="42"/>
      <c r="V48" s="105">
        <f t="shared" si="5"/>
        <v>1</v>
      </c>
      <c r="W48" s="141">
        <f t="shared" si="4"/>
        <v>0</v>
      </c>
      <c r="X48" s="42"/>
      <c r="Y48" s="42"/>
      <c r="Z48" s="42"/>
      <c r="AA48" s="42"/>
      <c r="AB48" s="354"/>
      <c r="AC48" s="355"/>
      <c r="AD48" s="232">
        <v>2</v>
      </c>
    </row>
    <row r="49" spans="1:32" s="35" customFormat="1" ht="15" customHeight="1">
      <c r="A49" s="42">
        <v>45</v>
      </c>
      <c r="B49" s="42">
        <v>45</v>
      </c>
      <c r="C49" s="42" t="s">
        <v>110</v>
      </c>
      <c r="D49" s="38" t="s">
        <v>141</v>
      </c>
      <c r="E49" s="42" t="s">
        <v>5</v>
      </c>
      <c r="F49" s="37">
        <v>1</v>
      </c>
      <c r="G49" s="172">
        <v>0</v>
      </c>
      <c r="H49" s="39">
        <v>0</v>
      </c>
      <c r="I49" s="199"/>
      <c r="J49" s="162">
        <v>0</v>
      </c>
      <c r="K49" s="39">
        <v>0</v>
      </c>
      <c r="L49" s="39">
        <v>0</v>
      </c>
      <c r="M49" s="39">
        <v>0</v>
      </c>
      <c r="N49" s="39">
        <v>0</v>
      </c>
      <c r="O49" s="39">
        <v>0</v>
      </c>
      <c r="P49" s="39">
        <v>0</v>
      </c>
      <c r="Q49" s="39">
        <v>0</v>
      </c>
      <c r="R49" s="39">
        <v>0</v>
      </c>
      <c r="S49" s="39">
        <v>0</v>
      </c>
      <c r="T49" s="42"/>
      <c r="U49" s="42"/>
      <c r="V49" s="105">
        <f t="shared" si="5"/>
        <v>1</v>
      </c>
      <c r="W49" s="141">
        <f t="shared" si="4"/>
        <v>0</v>
      </c>
      <c r="X49" s="42"/>
      <c r="Y49" s="42"/>
      <c r="Z49" s="42"/>
      <c r="AA49" s="42"/>
      <c r="AB49" s="354"/>
      <c r="AC49" s="355"/>
      <c r="AD49" s="144">
        <v>1</v>
      </c>
    </row>
    <row r="50" spans="1:32" s="35" customFormat="1" ht="15" customHeight="1">
      <c r="A50" s="42">
        <v>46</v>
      </c>
      <c r="B50" s="42">
        <v>46</v>
      </c>
      <c r="C50" s="42" t="s">
        <v>111</v>
      </c>
      <c r="D50" s="38" t="s">
        <v>142</v>
      </c>
      <c r="E50" s="42" t="s">
        <v>5</v>
      </c>
      <c r="F50" s="37">
        <v>1</v>
      </c>
      <c r="G50" s="172">
        <v>0</v>
      </c>
      <c r="H50" s="39">
        <v>0</v>
      </c>
      <c r="I50" s="199"/>
      <c r="J50" s="162">
        <v>0</v>
      </c>
      <c r="K50" s="39">
        <v>0</v>
      </c>
      <c r="L50" s="39">
        <v>0</v>
      </c>
      <c r="M50" s="39">
        <v>0</v>
      </c>
      <c r="N50" s="39">
        <v>0</v>
      </c>
      <c r="O50" s="39">
        <v>0</v>
      </c>
      <c r="P50" s="39">
        <v>0</v>
      </c>
      <c r="Q50" s="39">
        <v>0</v>
      </c>
      <c r="R50" s="39">
        <v>0</v>
      </c>
      <c r="S50" s="39">
        <v>0</v>
      </c>
      <c r="T50" s="42"/>
      <c r="U50" s="42"/>
      <c r="V50" s="105">
        <f t="shared" si="5"/>
        <v>1</v>
      </c>
      <c r="W50" s="141">
        <f t="shared" si="4"/>
        <v>0</v>
      </c>
      <c r="X50" s="42"/>
      <c r="Y50" s="42"/>
      <c r="Z50" s="42"/>
      <c r="AA50" s="42"/>
      <c r="AB50" s="354"/>
      <c r="AC50" s="355"/>
      <c r="AD50" s="144">
        <v>1</v>
      </c>
    </row>
    <row r="51" spans="1:32" s="35" customFormat="1" ht="15" customHeight="1">
      <c r="A51" s="42">
        <v>47</v>
      </c>
      <c r="B51" s="42">
        <v>47</v>
      </c>
      <c r="C51" s="42" t="s">
        <v>112</v>
      </c>
      <c r="D51" s="38" t="s">
        <v>142</v>
      </c>
      <c r="E51" s="42" t="s">
        <v>5</v>
      </c>
      <c r="F51" s="37">
        <v>1</v>
      </c>
      <c r="G51" s="172">
        <v>0</v>
      </c>
      <c r="H51" s="39">
        <v>0</v>
      </c>
      <c r="I51" s="199"/>
      <c r="J51" s="162">
        <v>0</v>
      </c>
      <c r="K51" s="39">
        <v>0</v>
      </c>
      <c r="L51" s="39">
        <v>0</v>
      </c>
      <c r="M51" s="39">
        <v>0</v>
      </c>
      <c r="N51" s="39">
        <v>0</v>
      </c>
      <c r="O51" s="39">
        <v>0</v>
      </c>
      <c r="P51" s="39">
        <v>0</v>
      </c>
      <c r="Q51" s="39">
        <v>0</v>
      </c>
      <c r="R51" s="39">
        <v>0</v>
      </c>
      <c r="S51" s="39">
        <v>0</v>
      </c>
      <c r="T51" s="42"/>
      <c r="U51" s="42"/>
      <c r="V51" s="105">
        <f t="shared" si="5"/>
        <v>1</v>
      </c>
      <c r="W51" s="141">
        <f t="shared" si="4"/>
        <v>0</v>
      </c>
      <c r="X51" s="42"/>
      <c r="Y51" s="42"/>
      <c r="Z51" s="42"/>
      <c r="AA51" s="42"/>
      <c r="AB51" s="354"/>
      <c r="AC51" s="355"/>
      <c r="AD51" s="144">
        <v>1</v>
      </c>
    </row>
    <row r="52" spans="1:32" s="35" customFormat="1" ht="15" customHeight="1">
      <c r="A52" s="42">
        <v>48</v>
      </c>
      <c r="B52" s="42">
        <v>48</v>
      </c>
      <c r="C52" s="42" t="s">
        <v>113</v>
      </c>
      <c r="D52" s="38" t="s">
        <v>143</v>
      </c>
      <c r="E52" s="42" t="s">
        <v>3</v>
      </c>
      <c r="F52" s="37">
        <v>2</v>
      </c>
      <c r="G52" s="172">
        <v>0</v>
      </c>
      <c r="H52" s="39">
        <v>0</v>
      </c>
      <c r="I52" s="199"/>
      <c r="J52" s="162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9">
        <v>0</v>
      </c>
      <c r="Q52" s="39">
        <v>0</v>
      </c>
      <c r="R52" s="39">
        <v>0</v>
      </c>
      <c r="S52" s="39">
        <v>0</v>
      </c>
      <c r="T52" s="42"/>
      <c r="U52" s="42"/>
      <c r="V52" s="105">
        <f t="shared" si="5"/>
        <v>2</v>
      </c>
      <c r="W52" s="141">
        <f t="shared" si="4"/>
        <v>0</v>
      </c>
      <c r="X52" s="42"/>
      <c r="Y52" s="42"/>
      <c r="Z52" s="42"/>
      <c r="AA52" s="42"/>
      <c r="AB52" s="354"/>
      <c r="AC52" s="355"/>
      <c r="AD52" s="144">
        <v>2</v>
      </c>
    </row>
    <row r="53" spans="1:32" s="35" customFormat="1" ht="15" customHeight="1">
      <c r="A53" s="42">
        <v>49</v>
      </c>
      <c r="B53" s="42">
        <v>49</v>
      </c>
      <c r="C53" s="42" t="s">
        <v>114</v>
      </c>
      <c r="D53" s="38" t="s">
        <v>144</v>
      </c>
      <c r="E53" s="42" t="s">
        <v>3</v>
      </c>
      <c r="F53" s="37">
        <v>2</v>
      </c>
      <c r="G53" s="172">
        <v>0</v>
      </c>
      <c r="H53" s="39">
        <v>0</v>
      </c>
      <c r="I53" s="199"/>
      <c r="J53" s="162">
        <v>0</v>
      </c>
      <c r="K53" s="39">
        <v>0</v>
      </c>
      <c r="L53" s="39">
        <v>0</v>
      </c>
      <c r="M53" s="39">
        <v>0</v>
      </c>
      <c r="N53" s="39">
        <v>0</v>
      </c>
      <c r="O53" s="39">
        <v>0</v>
      </c>
      <c r="P53" s="39">
        <v>0</v>
      </c>
      <c r="Q53" s="39">
        <v>0</v>
      </c>
      <c r="R53" s="39">
        <v>0</v>
      </c>
      <c r="S53" s="39">
        <v>0</v>
      </c>
      <c r="T53" s="42"/>
      <c r="U53" s="42"/>
      <c r="V53" s="105">
        <f t="shared" si="5"/>
        <v>2</v>
      </c>
      <c r="W53" s="141">
        <f t="shared" si="4"/>
        <v>0</v>
      </c>
      <c r="X53" s="42"/>
      <c r="Y53" s="42"/>
      <c r="Z53" s="42"/>
      <c r="AA53" s="42"/>
      <c r="AB53" s="354"/>
      <c r="AC53" s="355"/>
      <c r="AD53" s="144">
        <v>2</v>
      </c>
    </row>
    <row r="54" spans="1:32" s="35" customFormat="1" ht="15" customHeight="1">
      <c r="A54" s="42">
        <v>50</v>
      </c>
      <c r="B54" s="42">
        <v>50</v>
      </c>
      <c r="C54" s="42" t="s">
        <v>115</v>
      </c>
      <c r="D54" s="38" t="s">
        <v>144</v>
      </c>
      <c r="E54" s="42" t="s">
        <v>3</v>
      </c>
      <c r="F54" s="37">
        <v>2</v>
      </c>
      <c r="G54" s="172">
        <v>0</v>
      </c>
      <c r="H54" s="39">
        <v>0</v>
      </c>
      <c r="I54" s="199"/>
      <c r="J54" s="162">
        <v>0</v>
      </c>
      <c r="K54" s="39">
        <v>0</v>
      </c>
      <c r="L54" s="39">
        <v>0</v>
      </c>
      <c r="M54" s="39">
        <v>0</v>
      </c>
      <c r="N54" s="39">
        <v>0</v>
      </c>
      <c r="O54" s="39">
        <v>0</v>
      </c>
      <c r="P54" s="39">
        <v>0</v>
      </c>
      <c r="Q54" s="39">
        <v>0</v>
      </c>
      <c r="R54" s="39">
        <v>0</v>
      </c>
      <c r="S54" s="39">
        <v>0</v>
      </c>
      <c r="T54" s="49"/>
      <c r="U54" s="49"/>
      <c r="V54" s="105">
        <f t="shared" si="5"/>
        <v>2</v>
      </c>
      <c r="W54" s="141">
        <f t="shared" si="4"/>
        <v>0</v>
      </c>
      <c r="X54" s="42"/>
      <c r="Y54" s="42"/>
      <c r="Z54" s="42"/>
      <c r="AA54" s="42"/>
      <c r="AB54" s="354"/>
      <c r="AC54" s="355"/>
      <c r="AD54" s="144">
        <v>2</v>
      </c>
    </row>
    <row r="55" spans="1:32" s="35" customFormat="1" ht="15" customHeight="1">
      <c r="A55" s="167">
        <v>51</v>
      </c>
      <c r="B55" s="167">
        <v>51</v>
      </c>
      <c r="C55" s="167" t="s">
        <v>116</v>
      </c>
      <c r="D55" s="168" t="s">
        <v>145</v>
      </c>
      <c r="E55" s="167" t="s">
        <v>5</v>
      </c>
      <c r="F55" s="169">
        <v>1</v>
      </c>
      <c r="G55" s="173">
        <v>0</v>
      </c>
      <c r="H55" s="167">
        <v>0</v>
      </c>
      <c r="I55" s="199"/>
      <c r="J55" s="170">
        <v>0</v>
      </c>
      <c r="K55" s="167">
        <v>0</v>
      </c>
      <c r="L55" s="167">
        <v>0</v>
      </c>
      <c r="M55" s="167">
        <v>0</v>
      </c>
      <c r="N55" s="167">
        <v>0</v>
      </c>
      <c r="O55" s="167">
        <v>0</v>
      </c>
      <c r="P55" s="167">
        <v>0</v>
      </c>
      <c r="Q55" s="167">
        <v>0</v>
      </c>
      <c r="R55" s="167">
        <v>0</v>
      </c>
      <c r="S55" s="167">
        <v>1</v>
      </c>
      <c r="T55" s="167" t="s">
        <v>621</v>
      </c>
      <c r="U55" s="167" t="s">
        <v>619</v>
      </c>
      <c r="V55" s="105">
        <f>F55+G55+J55+K55+L55+M55+N55+O55+P55+Q55-S55</f>
        <v>0</v>
      </c>
      <c r="W55" s="169">
        <f>F55-V55</f>
        <v>1</v>
      </c>
      <c r="X55" s="167"/>
      <c r="Y55" s="167"/>
      <c r="Z55" s="167" t="s">
        <v>625</v>
      </c>
      <c r="AA55" s="167"/>
      <c r="AB55" s="356" t="s">
        <v>622</v>
      </c>
      <c r="AC55" s="357"/>
      <c r="AD55" s="232">
        <v>2</v>
      </c>
    </row>
    <row r="56" spans="1:32" s="35" customFormat="1" ht="15" customHeight="1">
      <c r="A56" s="39">
        <v>52</v>
      </c>
      <c r="B56" s="39">
        <v>52</v>
      </c>
      <c r="C56" s="39" t="s">
        <v>117</v>
      </c>
      <c r="D56" s="246" t="s">
        <v>146</v>
      </c>
      <c r="E56" s="39" t="s">
        <v>5</v>
      </c>
      <c r="F56" s="141">
        <v>1</v>
      </c>
      <c r="G56" s="172">
        <v>0</v>
      </c>
      <c r="H56" s="39">
        <v>0</v>
      </c>
      <c r="I56" s="199"/>
      <c r="J56" s="170">
        <v>0</v>
      </c>
      <c r="K56" s="167">
        <v>0</v>
      </c>
      <c r="L56" s="167">
        <v>0</v>
      </c>
      <c r="M56" s="167">
        <v>0</v>
      </c>
      <c r="N56" s="167">
        <v>0</v>
      </c>
      <c r="O56" s="167">
        <v>0</v>
      </c>
      <c r="P56" s="219">
        <v>1</v>
      </c>
      <c r="Q56" s="167">
        <v>0</v>
      </c>
      <c r="R56" s="167">
        <v>0</v>
      </c>
      <c r="S56" s="167">
        <v>1</v>
      </c>
      <c r="T56" s="167" t="s">
        <v>684</v>
      </c>
      <c r="U56" s="167" t="s">
        <v>687</v>
      </c>
      <c r="V56" s="105">
        <f>F56+G56+J56+K56+L56+M56+N56+O56+P56+Q56-S56</f>
        <v>1</v>
      </c>
      <c r="W56" s="169">
        <f>F56+G56+H56-V56</f>
        <v>0</v>
      </c>
      <c r="X56" s="167"/>
      <c r="Y56" s="167"/>
      <c r="Z56" s="167" t="s">
        <v>685</v>
      </c>
      <c r="AA56" s="167">
        <v>172</v>
      </c>
      <c r="AB56" s="356">
        <v>113</v>
      </c>
      <c r="AC56" s="357"/>
      <c r="AD56" s="144">
        <v>1</v>
      </c>
    </row>
    <row r="57" spans="1:32" s="35" customFormat="1" ht="15" customHeight="1">
      <c r="A57" s="42">
        <v>53</v>
      </c>
      <c r="B57" s="42">
        <v>53</v>
      </c>
      <c r="C57" s="42" t="s">
        <v>118</v>
      </c>
      <c r="D57" s="38" t="s">
        <v>147</v>
      </c>
      <c r="E57" s="42" t="s">
        <v>5</v>
      </c>
      <c r="F57" s="37">
        <v>1</v>
      </c>
      <c r="G57" s="172">
        <v>0</v>
      </c>
      <c r="H57" s="39">
        <v>0</v>
      </c>
      <c r="I57" s="199"/>
      <c r="J57" s="162">
        <v>0</v>
      </c>
      <c r="K57" s="39">
        <v>0</v>
      </c>
      <c r="L57" s="39">
        <v>0</v>
      </c>
      <c r="M57" s="39">
        <v>0</v>
      </c>
      <c r="N57" s="39">
        <v>0</v>
      </c>
      <c r="O57" s="39">
        <v>0</v>
      </c>
      <c r="P57" s="39">
        <v>0</v>
      </c>
      <c r="Q57" s="39">
        <v>0</v>
      </c>
      <c r="R57" s="39">
        <v>0</v>
      </c>
      <c r="S57" s="39">
        <v>0</v>
      </c>
      <c r="T57" s="42"/>
      <c r="U57" s="42"/>
      <c r="V57" s="105">
        <f t="shared" ref="V57:V65" si="6">F57+G57+J57+K57+L57+M57+N57+O57-S57</f>
        <v>1</v>
      </c>
      <c r="W57" s="141">
        <f>F57+J57-S57-V57</f>
        <v>0</v>
      </c>
      <c r="X57" s="42"/>
      <c r="Y57" s="42"/>
      <c r="Z57" s="42"/>
      <c r="AA57" s="42"/>
      <c r="AB57" s="354"/>
      <c r="AC57" s="355"/>
      <c r="AD57" s="144">
        <v>1</v>
      </c>
    </row>
    <row r="58" spans="1:32" s="35" customFormat="1" ht="15" customHeight="1">
      <c r="A58" s="42">
        <v>54</v>
      </c>
      <c r="B58" s="42">
        <v>54</v>
      </c>
      <c r="C58" s="42" t="s">
        <v>119</v>
      </c>
      <c r="D58" s="44" t="s">
        <v>126</v>
      </c>
      <c r="E58" s="42" t="s">
        <v>3</v>
      </c>
      <c r="F58" s="37">
        <v>2</v>
      </c>
      <c r="G58" s="172">
        <v>0</v>
      </c>
      <c r="H58" s="39">
        <v>0</v>
      </c>
      <c r="I58" s="199"/>
      <c r="J58" s="162">
        <v>0</v>
      </c>
      <c r="K58" s="39">
        <v>0</v>
      </c>
      <c r="L58" s="39">
        <v>0</v>
      </c>
      <c r="M58" s="39">
        <v>0</v>
      </c>
      <c r="N58" s="39">
        <v>0</v>
      </c>
      <c r="O58" s="39">
        <v>0</v>
      </c>
      <c r="P58" s="39">
        <v>0</v>
      </c>
      <c r="Q58" s="39">
        <v>0</v>
      </c>
      <c r="R58" s="39">
        <v>0</v>
      </c>
      <c r="S58" s="39">
        <v>0</v>
      </c>
      <c r="T58" s="42"/>
      <c r="U58" s="42"/>
      <c r="V58" s="105">
        <f t="shared" si="6"/>
        <v>2</v>
      </c>
      <c r="W58" s="141">
        <f>F58+J58-S58-V58</f>
        <v>0</v>
      </c>
      <c r="X58" s="42"/>
      <c r="Y58" s="42"/>
      <c r="Z58" s="42"/>
      <c r="AA58" s="42"/>
      <c r="AB58" s="354"/>
      <c r="AC58" s="355"/>
      <c r="AD58" s="144">
        <v>2</v>
      </c>
    </row>
    <row r="59" spans="1:32" s="35" customFormat="1" ht="15" customHeight="1">
      <c r="A59" s="42">
        <v>55</v>
      </c>
      <c r="B59" s="42">
        <v>55</v>
      </c>
      <c r="C59" s="42" t="s">
        <v>120</v>
      </c>
      <c r="D59" s="38" t="s">
        <v>130</v>
      </c>
      <c r="E59" s="42" t="s">
        <v>4</v>
      </c>
      <c r="F59" s="37">
        <v>1</v>
      </c>
      <c r="G59" s="172">
        <v>0</v>
      </c>
      <c r="H59" s="39">
        <v>0</v>
      </c>
      <c r="I59" s="199"/>
      <c r="J59" s="162">
        <v>0</v>
      </c>
      <c r="K59" s="39">
        <v>0</v>
      </c>
      <c r="L59" s="39">
        <v>0</v>
      </c>
      <c r="M59" s="39">
        <v>0</v>
      </c>
      <c r="N59" s="39">
        <v>0</v>
      </c>
      <c r="O59" s="39">
        <v>0</v>
      </c>
      <c r="P59" s="39">
        <v>0</v>
      </c>
      <c r="Q59" s="39">
        <v>0</v>
      </c>
      <c r="R59" s="39">
        <v>0</v>
      </c>
      <c r="S59" s="39">
        <v>0</v>
      </c>
      <c r="T59" s="42"/>
      <c r="U59" s="42"/>
      <c r="V59" s="105">
        <f t="shared" si="6"/>
        <v>1</v>
      </c>
      <c r="W59" s="141">
        <f>F59+J59-S59-V59</f>
        <v>0</v>
      </c>
      <c r="X59" s="42"/>
      <c r="Y59" s="42"/>
      <c r="Z59" s="42"/>
      <c r="AA59" s="42"/>
      <c r="AB59" s="354"/>
      <c r="AC59" s="355"/>
      <c r="AD59" s="232">
        <v>2</v>
      </c>
    </row>
    <row r="60" spans="1:32" s="35" customFormat="1" ht="15" customHeight="1">
      <c r="A60" s="42">
        <v>1</v>
      </c>
      <c r="B60" s="42">
        <v>56</v>
      </c>
      <c r="C60" s="42" t="s">
        <v>187</v>
      </c>
      <c r="D60" s="36" t="s">
        <v>130</v>
      </c>
      <c r="E60" s="42" t="s">
        <v>5</v>
      </c>
      <c r="F60" s="42">
        <v>0</v>
      </c>
      <c r="G60" s="174">
        <v>1</v>
      </c>
      <c r="H60" s="39">
        <v>0</v>
      </c>
      <c r="I60" s="199"/>
      <c r="J60" s="162">
        <v>0</v>
      </c>
      <c r="K60" s="39">
        <v>0</v>
      </c>
      <c r="L60" s="39">
        <v>0</v>
      </c>
      <c r="M60" s="39">
        <v>0</v>
      </c>
      <c r="N60" s="39">
        <v>0</v>
      </c>
      <c r="O60" s="39">
        <v>0</v>
      </c>
      <c r="P60" s="39">
        <v>0</v>
      </c>
      <c r="Q60" s="39">
        <v>0</v>
      </c>
      <c r="R60" s="39">
        <v>0</v>
      </c>
      <c r="S60" s="39">
        <v>0</v>
      </c>
      <c r="T60" s="42"/>
      <c r="U60" s="42"/>
      <c r="V60" s="105">
        <f t="shared" si="6"/>
        <v>1</v>
      </c>
      <c r="W60" s="141">
        <f t="shared" ref="W60:W65" si="7">G60-S60-V60</f>
        <v>0</v>
      </c>
      <c r="X60" s="42"/>
      <c r="Y60" s="42"/>
      <c r="Z60" s="42"/>
      <c r="AA60" s="42"/>
      <c r="AB60" s="354"/>
      <c r="AC60" s="355"/>
      <c r="AD60" s="144">
        <v>1</v>
      </c>
    </row>
    <row r="61" spans="1:32" s="35" customFormat="1" ht="15" customHeight="1">
      <c r="A61" s="42">
        <v>2</v>
      </c>
      <c r="B61" s="42">
        <v>57</v>
      </c>
      <c r="C61" s="42" t="s">
        <v>188</v>
      </c>
      <c r="D61" s="36" t="s">
        <v>132</v>
      </c>
      <c r="E61" s="42" t="s">
        <v>5</v>
      </c>
      <c r="F61" s="42">
        <v>0</v>
      </c>
      <c r="G61" s="174">
        <v>1</v>
      </c>
      <c r="H61" s="39">
        <v>0</v>
      </c>
      <c r="I61" s="199"/>
      <c r="J61" s="162">
        <v>0</v>
      </c>
      <c r="K61" s="39">
        <v>0</v>
      </c>
      <c r="L61" s="39">
        <v>0</v>
      </c>
      <c r="M61" s="39">
        <v>0</v>
      </c>
      <c r="N61" s="39">
        <v>0</v>
      </c>
      <c r="O61" s="39">
        <v>0</v>
      </c>
      <c r="P61" s="39">
        <v>0</v>
      </c>
      <c r="Q61" s="39">
        <v>0</v>
      </c>
      <c r="R61" s="39">
        <v>0</v>
      </c>
      <c r="S61" s="39">
        <v>0</v>
      </c>
      <c r="T61" s="42"/>
      <c r="U61" s="42"/>
      <c r="V61" s="105">
        <f t="shared" si="6"/>
        <v>1</v>
      </c>
      <c r="W61" s="141">
        <f t="shared" si="7"/>
        <v>0</v>
      </c>
      <c r="X61" s="42"/>
      <c r="Y61" s="42"/>
      <c r="Z61" s="42"/>
      <c r="AA61" s="42"/>
      <c r="AB61" s="354"/>
      <c r="AC61" s="355"/>
      <c r="AD61" s="144">
        <v>1</v>
      </c>
    </row>
    <row r="62" spans="1:32" s="35" customFormat="1" ht="15" customHeight="1">
      <c r="A62" s="42">
        <v>3</v>
      </c>
      <c r="B62" s="42">
        <v>58</v>
      </c>
      <c r="C62" s="42" t="s">
        <v>189</v>
      </c>
      <c r="D62" s="36" t="s">
        <v>132</v>
      </c>
      <c r="E62" s="42" t="s">
        <v>5</v>
      </c>
      <c r="F62" s="42">
        <v>0</v>
      </c>
      <c r="G62" s="174">
        <v>1</v>
      </c>
      <c r="H62" s="39">
        <v>0</v>
      </c>
      <c r="I62" s="199"/>
      <c r="J62" s="162">
        <v>0</v>
      </c>
      <c r="K62" s="39">
        <v>0</v>
      </c>
      <c r="L62" s="39">
        <v>0</v>
      </c>
      <c r="M62" s="39">
        <v>0</v>
      </c>
      <c r="N62" s="39">
        <v>0</v>
      </c>
      <c r="O62" s="39">
        <v>0</v>
      </c>
      <c r="P62" s="39">
        <v>0</v>
      </c>
      <c r="Q62" s="39">
        <v>0</v>
      </c>
      <c r="R62" s="39">
        <v>0</v>
      </c>
      <c r="S62" s="39">
        <v>0</v>
      </c>
      <c r="T62" s="42"/>
      <c r="U62" s="42"/>
      <c r="V62" s="105">
        <f t="shared" si="6"/>
        <v>1</v>
      </c>
      <c r="W62" s="141">
        <f t="shared" si="7"/>
        <v>0</v>
      </c>
      <c r="X62" s="42"/>
      <c r="Y62" s="42"/>
      <c r="Z62" s="42"/>
      <c r="AA62" s="42"/>
      <c r="AB62" s="354"/>
      <c r="AC62" s="355"/>
      <c r="AD62" s="144">
        <v>1</v>
      </c>
    </row>
    <row r="63" spans="1:32" s="35" customFormat="1" ht="15" customHeight="1">
      <c r="A63" s="42">
        <v>4</v>
      </c>
      <c r="B63" s="42">
        <v>59</v>
      </c>
      <c r="C63" s="42" t="s">
        <v>190</v>
      </c>
      <c r="D63" s="36" t="s">
        <v>132</v>
      </c>
      <c r="E63" s="42" t="s">
        <v>5</v>
      </c>
      <c r="F63" s="42">
        <v>0</v>
      </c>
      <c r="G63" s="174">
        <v>1</v>
      </c>
      <c r="H63" s="39">
        <v>0</v>
      </c>
      <c r="I63" s="199"/>
      <c r="J63" s="162">
        <v>0</v>
      </c>
      <c r="K63" s="39">
        <v>0</v>
      </c>
      <c r="L63" s="39">
        <v>0</v>
      </c>
      <c r="M63" s="39">
        <v>0</v>
      </c>
      <c r="N63" s="39">
        <v>0</v>
      </c>
      <c r="O63" s="39">
        <v>0</v>
      </c>
      <c r="P63" s="39">
        <v>0</v>
      </c>
      <c r="Q63" s="39">
        <v>0</v>
      </c>
      <c r="R63" s="39">
        <v>0</v>
      </c>
      <c r="S63" s="39">
        <v>0</v>
      </c>
      <c r="T63" s="42"/>
      <c r="U63" s="42"/>
      <c r="V63" s="105">
        <f t="shared" si="6"/>
        <v>1</v>
      </c>
      <c r="W63" s="141">
        <f t="shared" si="7"/>
        <v>0</v>
      </c>
      <c r="X63" s="42"/>
      <c r="Y63" s="42"/>
      <c r="Z63" s="42"/>
      <c r="AA63" s="42"/>
      <c r="AB63" s="354"/>
      <c r="AC63" s="355"/>
      <c r="AD63" s="144">
        <v>1</v>
      </c>
    </row>
    <row r="64" spans="1:32" s="35" customFormat="1" ht="15" customHeight="1">
      <c r="A64" s="42">
        <v>5</v>
      </c>
      <c r="B64" s="42">
        <v>60</v>
      </c>
      <c r="C64" s="42" t="s">
        <v>191</v>
      </c>
      <c r="D64" s="36" t="s">
        <v>132</v>
      </c>
      <c r="E64" s="42" t="s">
        <v>5</v>
      </c>
      <c r="F64" s="42">
        <v>0</v>
      </c>
      <c r="G64" s="174">
        <v>1</v>
      </c>
      <c r="H64" s="39">
        <v>0</v>
      </c>
      <c r="I64" s="199"/>
      <c r="J64" s="162">
        <v>0</v>
      </c>
      <c r="K64" s="39">
        <v>0</v>
      </c>
      <c r="L64" s="39">
        <v>0</v>
      </c>
      <c r="M64" s="39">
        <v>0</v>
      </c>
      <c r="N64" s="39">
        <v>0</v>
      </c>
      <c r="O64" s="39">
        <v>0</v>
      </c>
      <c r="P64" s="39">
        <v>0</v>
      </c>
      <c r="Q64" s="39">
        <v>0</v>
      </c>
      <c r="R64" s="39">
        <v>0</v>
      </c>
      <c r="S64" s="39">
        <v>0</v>
      </c>
      <c r="T64" s="39"/>
      <c r="U64" s="39"/>
      <c r="V64" s="105">
        <f t="shared" si="6"/>
        <v>1</v>
      </c>
      <c r="W64" s="141">
        <f t="shared" si="7"/>
        <v>0</v>
      </c>
      <c r="X64" s="39"/>
      <c r="Y64" s="39"/>
      <c r="Z64" s="39"/>
      <c r="AA64" s="39"/>
      <c r="AB64" s="352"/>
      <c r="AC64" s="353"/>
      <c r="AD64" s="144">
        <v>1</v>
      </c>
      <c r="AE64" s="143"/>
      <c r="AF64" s="143"/>
    </row>
    <row r="65" spans="1:32" s="35" customFormat="1" ht="15" customHeight="1">
      <c r="A65" s="42">
        <v>6</v>
      </c>
      <c r="B65" s="42">
        <v>61</v>
      </c>
      <c r="C65" s="42" t="s">
        <v>192</v>
      </c>
      <c r="D65" s="36" t="s">
        <v>595</v>
      </c>
      <c r="E65" s="42" t="s">
        <v>3</v>
      </c>
      <c r="F65" s="42">
        <v>0</v>
      </c>
      <c r="G65" s="174">
        <v>2</v>
      </c>
      <c r="H65" s="39">
        <v>0</v>
      </c>
      <c r="I65" s="199"/>
      <c r="J65" s="162">
        <v>0</v>
      </c>
      <c r="K65" s="39">
        <v>0</v>
      </c>
      <c r="L65" s="39">
        <v>0</v>
      </c>
      <c r="M65" s="39">
        <v>0</v>
      </c>
      <c r="N65" s="39">
        <v>0</v>
      </c>
      <c r="O65" s="39">
        <v>0</v>
      </c>
      <c r="P65" s="39">
        <v>0</v>
      </c>
      <c r="Q65" s="39">
        <v>0</v>
      </c>
      <c r="R65" s="39">
        <v>0</v>
      </c>
      <c r="S65" s="39">
        <v>0</v>
      </c>
      <c r="T65" s="39"/>
      <c r="U65" s="39"/>
      <c r="V65" s="105">
        <f t="shared" si="6"/>
        <v>2</v>
      </c>
      <c r="W65" s="141">
        <f t="shared" si="7"/>
        <v>0</v>
      </c>
      <c r="X65" s="39"/>
      <c r="Y65" s="39"/>
      <c r="Z65" s="39"/>
      <c r="AA65" s="39"/>
      <c r="AB65" s="352"/>
      <c r="AC65" s="353"/>
      <c r="AD65" s="285">
        <v>2</v>
      </c>
      <c r="AE65" s="143"/>
      <c r="AF65" s="143"/>
    </row>
    <row r="66" spans="1:32" s="107" customFormat="1" ht="15" customHeight="1">
      <c r="A66" s="167">
        <v>7</v>
      </c>
      <c r="B66" s="167">
        <v>62</v>
      </c>
      <c r="C66" s="167" t="s">
        <v>193</v>
      </c>
      <c r="D66" s="171" t="s">
        <v>596</v>
      </c>
      <c r="E66" s="167" t="s">
        <v>3</v>
      </c>
      <c r="F66" s="167">
        <v>0</v>
      </c>
      <c r="G66" s="175">
        <v>2</v>
      </c>
      <c r="H66" s="167">
        <v>0</v>
      </c>
      <c r="I66" s="199"/>
      <c r="J66" s="170">
        <v>0</v>
      </c>
      <c r="K66" s="167">
        <v>0</v>
      </c>
      <c r="L66" s="167">
        <v>0</v>
      </c>
      <c r="M66" s="167">
        <v>0</v>
      </c>
      <c r="N66" s="167">
        <v>0</v>
      </c>
      <c r="O66" s="249">
        <v>1</v>
      </c>
      <c r="P66" s="167">
        <v>0</v>
      </c>
      <c r="Q66" s="249">
        <v>1</v>
      </c>
      <c r="R66" s="39">
        <v>0</v>
      </c>
      <c r="S66" s="167">
        <v>3</v>
      </c>
      <c r="T66" s="167" t="s">
        <v>552</v>
      </c>
      <c r="U66" s="167" t="s">
        <v>553</v>
      </c>
      <c r="V66" s="105">
        <f>F66+G66+J66+K66+L66+M66+N66+O66+P66+Q66-S66</f>
        <v>1</v>
      </c>
      <c r="W66" s="167">
        <f t="shared" ref="W66:W86" si="8">G66-V66</f>
        <v>1</v>
      </c>
      <c r="X66" s="167" t="s">
        <v>566</v>
      </c>
      <c r="Y66" s="167" t="s">
        <v>613</v>
      </c>
      <c r="Z66" s="167" t="s">
        <v>674</v>
      </c>
      <c r="AA66" s="167" t="s">
        <v>670</v>
      </c>
      <c r="AB66" s="283" t="s">
        <v>686</v>
      </c>
      <c r="AC66" s="284"/>
      <c r="AD66" s="285">
        <v>2</v>
      </c>
    </row>
    <row r="67" spans="1:32" s="35" customFormat="1" ht="15" customHeight="1">
      <c r="A67" s="167">
        <v>8</v>
      </c>
      <c r="B67" s="167">
        <v>63</v>
      </c>
      <c r="C67" s="167" t="s">
        <v>194</v>
      </c>
      <c r="D67" s="171" t="s">
        <v>574</v>
      </c>
      <c r="E67" s="167" t="s">
        <v>3</v>
      </c>
      <c r="F67" s="167">
        <v>0</v>
      </c>
      <c r="G67" s="175">
        <v>2</v>
      </c>
      <c r="H67" s="167">
        <v>0</v>
      </c>
      <c r="I67" s="199"/>
      <c r="J67" s="170">
        <v>0</v>
      </c>
      <c r="K67" s="167">
        <v>0</v>
      </c>
      <c r="L67" s="167">
        <v>0</v>
      </c>
      <c r="M67" s="167">
        <v>0</v>
      </c>
      <c r="N67" s="167">
        <v>0</v>
      </c>
      <c r="O67" s="167">
        <v>0</v>
      </c>
      <c r="P67" s="167">
        <v>0</v>
      </c>
      <c r="Q67" s="167">
        <v>0</v>
      </c>
      <c r="R67" s="39">
        <v>0</v>
      </c>
      <c r="S67" s="167">
        <v>1</v>
      </c>
      <c r="T67" s="167" t="s">
        <v>552</v>
      </c>
      <c r="U67" s="167" t="s">
        <v>766</v>
      </c>
      <c r="V67" s="105">
        <f t="shared" ref="V67:V75" si="9">F67+G67+J67+K67+L67+M67+N67+O67-S67</f>
        <v>1</v>
      </c>
      <c r="W67" s="167">
        <f t="shared" si="8"/>
        <v>1</v>
      </c>
      <c r="X67" s="167" t="s">
        <v>767</v>
      </c>
      <c r="Y67" s="167"/>
      <c r="Z67" s="167" t="s">
        <v>768</v>
      </c>
      <c r="AA67" s="167"/>
      <c r="AB67" s="356"/>
      <c r="AC67" s="357"/>
      <c r="AD67" s="285">
        <v>2</v>
      </c>
      <c r="AE67" s="143"/>
      <c r="AF67" s="143"/>
    </row>
    <row r="68" spans="1:32" s="107" customFormat="1" ht="15" customHeight="1">
      <c r="A68" s="39">
        <v>9</v>
      </c>
      <c r="B68" s="39">
        <v>64</v>
      </c>
      <c r="C68" s="39" t="s">
        <v>195</v>
      </c>
      <c r="D68" s="45" t="s">
        <v>561</v>
      </c>
      <c r="E68" s="39" t="s">
        <v>3</v>
      </c>
      <c r="F68" s="39">
        <v>0</v>
      </c>
      <c r="G68" s="176">
        <v>2</v>
      </c>
      <c r="H68" s="39">
        <v>0</v>
      </c>
      <c r="I68" s="199"/>
      <c r="J68" s="162">
        <v>0</v>
      </c>
      <c r="K68" s="39">
        <v>0</v>
      </c>
      <c r="L68" s="39">
        <v>0</v>
      </c>
      <c r="M68" s="39">
        <v>0</v>
      </c>
      <c r="N68" s="249">
        <v>1</v>
      </c>
      <c r="O68" s="39">
        <v>0</v>
      </c>
      <c r="P68" s="39">
        <v>0</v>
      </c>
      <c r="Q68" s="39">
        <v>0</v>
      </c>
      <c r="R68" s="39">
        <v>0</v>
      </c>
      <c r="S68" s="47">
        <v>1</v>
      </c>
      <c r="T68" s="39" t="s">
        <v>560</v>
      </c>
      <c r="U68" s="39" t="s">
        <v>562</v>
      </c>
      <c r="V68" s="105">
        <f t="shared" si="9"/>
        <v>2</v>
      </c>
      <c r="W68" s="47">
        <f t="shared" si="8"/>
        <v>0</v>
      </c>
      <c r="X68" s="39" t="s">
        <v>563</v>
      </c>
      <c r="Y68" s="39" t="s">
        <v>616</v>
      </c>
      <c r="Z68" s="39" t="s">
        <v>675</v>
      </c>
      <c r="AA68" s="39" t="s">
        <v>671</v>
      </c>
      <c r="AB68" s="352"/>
      <c r="AC68" s="353"/>
      <c r="AD68" s="285">
        <v>2</v>
      </c>
      <c r="AE68" s="143"/>
      <c r="AF68" s="143"/>
    </row>
    <row r="69" spans="1:32" s="35" customFormat="1" ht="15" customHeight="1">
      <c r="A69" s="42">
        <v>10</v>
      </c>
      <c r="B69" s="42">
        <v>65</v>
      </c>
      <c r="C69" s="42" t="s">
        <v>196</v>
      </c>
      <c r="D69" s="36" t="s">
        <v>198</v>
      </c>
      <c r="E69" s="42" t="s">
        <v>5</v>
      </c>
      <c r="F69" s="42">
        <v>0</v>
      </c>
      <c r="G69" s="174">
        <v>1</v>
      </c>
      <c r="H69" s="39">
        <v>0</v>
      </c>
      <c r="I69" s="199"/>
      <c r="J69" s="162">
        <v>0</v>
      </c>
      <c r="K69" s="39">
        <v>0</v>
      </c>
      <c r="L69" s="39">
        <v>0</v>
      </c>
      <c r="M69" s="39">
        <v>0</v>
      </c>
      <c r="N69" s="39">
        <v>0</v>
      </c>
      <c r="O69" s="39">
        <v>0</v>
      </c>
      <c r="P69" s="39">
        <v>0</v>
      </c>
      <c r="Q69" s="39">
        <v>0</v>
      </c>
      <c r="R69" s="39">
        <v>0</v>
      </c>
      <c r="S69" s="42">
        <v>0</v>
      </c>
      <c r="T69" s="39"/>
      <c r="U69" s="39"/>
      <c r="V69" s="105">
        <f t="shared" si="9"/>
        <v>1</v>
      </c>
      <c r="W69" s="47">
        <f t="shared" si="8"/>
        <v>0</v>
      </c>
      <c r="X69" s="39"/>
      <c r="Y69" s="39"/>
      <c r="Z69" s="39"/>
      <c r="AA69" s="39"/>
      <c r="AB69" s="352"/>
      <c r="AC69" s="353"/>
      <c r="AD69" s="285">
        <v>1</v>
      </c>
      <c r="AE69" s="143"/>
      <c r="AF69" s="143"/>
    </row>
    <row r="70" spans="1:32" s="35" customFormat="1" ht="15" customHeight="1">
      <c r="A70" s="42">
        <v>11</v>
      </c>
      <c r="B70" s="42">
        <v>66</v>
      </c>
      <c r="C70" s="42" t="s">
        <v>197</v>
      </c>
      <c r="D70" s="36" t="s">
        <v>198</v>
      </c>
      <c r="E70" s="42" t="s">
        <v>5</v>
      </c>
      <c r="F70" s="42">
        <v>0</v>
      </c>
      <c r="G70" s="174">
        <v>1</v>
      </c>
      <c r="H70" s="39">
        <v>0</v>
      </c>
      <c r="I70" s="199"/>
      <c r="J70" s="162">
        <v>0</v>
      </c>
      <c r="K70" s="39">
        <v>0</v>
      </c>
      <c r="L70" s="39">
        <v>0</v>
      </c>
      <c r="M70" s="39">
        <v>0</v>
      </c>
      <c r="N70" s="39">
        <v>0</v>
      </c>
      <c r="O70" s="39">
        <v>0</v>
      </c>
      <c r="P70" s="39">
        <v>0</v>
      </c>
      <c r="Q70" s="39">
        <v>0</v>
      </c>
      <c r="R70" s="39">
        <v>0</v>
      </c>
      <c r="S70" s="42">
        <v>0</v>
      </c>
      <c r="T70" s="39"/>
      <c r="U70" s="39"/>
      <c r="V70" s="105">
        <f t="shared" si="9"/>
        <v>1</v>
      </c>
      <c r="W70" s="47">
        <f t="shared" si="8"/>
        <v>0</v>
      </c>
      <c r="X70" s="39"/>
      <c r="Y70" s="39"/>
      <c r="Z70" s="39"/>
      <c r="AA70" s="39"/>
      <c r="AB70" s="352"/>
      <c r="AC70" s="353"/>
      <c r="AD70" s="144">
        <v>1</v>
      </c>
    </row>
    <row r="71" spans="1:32" s="35" customFormat="1" ht="15" customHeight="1">
      <c r="A71" s="42">
        <v>12</v>
      </c>
      <c r="B71" s="42">
        <v>67</v>
      </c>
      <c r="C71" s="42" t="s">
        <v>199</v>
      </c>
      <c r="D71" s="36" t="s">
        <v>200</v>
      </c>
      <c r="E71" s="42" t="s">
        <v>5</v>
      </c>
      <c r="F71" s="42">
        <v>0</v>
      </c>
      <c r="G71" s="174">
        <v>1</v>
      </c>
      <c r="H71" s="39">
        <v>0</v>
      </c>
      <c r="I71" s="199"/>
      <c r="J71" s="162">
        <v>0</v>
      </c>
      <c r="K71" s="39">
        <v>0</v>
      </c>
      <c r="L71" s="39">
        <v>0</v>
      </c>
      <c r="M71" s="39">
        <v>0</v>
      </c>
      <c r="N71" s="39">
        <v>0</v>
      </c>
      <c r="O71" s="39">
        <v>0</v>
      </c>
      <c r="P71" s="39">
        <v>0</v>
      </c>
      <c r="Q71" s="39">
        <v>0</v>
      </c>
      <c r="R71" s="39">
        <v>0</v>
      </c>
      <c r="S71" s="42">
        <v>0</v>
      </c>
      <c r="T71" s="42"/>
      <c r="U71" s="42"/>
      <c r="V71" s="105">
        <f t="shared" si="9"/>
        <v>1</v>
      </c>
      <c r="W71" s="47">
        <f t="shared" si="8"/>
        <v>0</v>
      </c>
      <c r="X71" s="42"/>
      <c r="Y71" s="42"/>
      <c r="Z71" s="42"/>
      <c r="AA71" s="42"/>
      <c r="AB71" s="354"/>
      <c r="AC71" s="355"/>
      <c r="AD71" s="144">
        <v>1</v>
      </c>
    </row>
    <row r="72" spans="1:32" s="35" customFormat="1" ht="26.25" customHeight="1">
      <c r="A72" s="167">
        <v>13</v>
      </c>
      <c r="B72" s="167">
        <v>68</v>
      </c>
      <c r="C72" s="167" t="s">
        <v>201</v>
      </c>
      <c r="D72" s="171" t="s">
        <v>131</v>
      </c>
      <c r="E72" s="167" t="s">
        <v>5</v>
      </c>
      <c r="F72" s="167">
        <v>0</v>
      </c>
      <c r="G72" s="175">
        <v>1</v>
      </c>
      <c r="H72" s="167">
        <v>0</v>
      </c>
      <c r="I72" s="199"/>
      <c r="J72" s="170">
        <v>0</v>
      </c>
      <c r="K72" s="167">
        <v>0</v>
      </c>
      <c r="L72" s="167">
        <v>0</v>
      </c>
      <c r="M72" s="167">
        <v>0</v>
      </c>
      <c r="N72" s="167">
        <v>0</v>
      </c>
      <c r="O72" s="167">
        <v>0</v>
      </c>
      <c r="P72" s="167">
        <v>0</v>
      </c>
      <c r="Q72" s="167">
        <v>0</v>
      </c>
      <c r="R72" s="39">
        <v>0</v>
      </c>
      <c r="S72" s="167">
        <v>1</v>
      </c>
      <c r="T72" s="247" t="s">
        <v>770</v>
      </c>
      <c r="U72" s="167" t="s">
        <v>769</v>
      </c>
      <c r="V72" s="105">
        <f t="shared" si="9"/>
        <v>0</v>
      </c>
      <c r="W72" s="167">
        <f t="shared" si="8"/>
        <v>1</v>
      </c>
      <c r="X72" s="225" t="s">
        <v>771</v>
      </c>
      <c r="Y72" s="225" t="s">
        <v>772</v>
      </c>
      <c r="Z72" s="167" t="s">
        <v>773</v>
      </c>
      <c r="AA72" s="167"/>
      <c r="AB72" s="354"/>
      <c r="AC72" s="355"/>
      <c r="AD72" s="144">
        <v>1</v>
      </c>
    </row>
    <row r="73" spans="1:32" s="35" customFormat="1" ht="15" customHeight="1">
      <c r="A73" s="42">
        <v>14</v>
      </c>
      <c r="B73" s="42">
        <v>69</v>
      </c>
      <c r="C73" s="42" t="s">
        <v>202</v>
      </c>
      <c r="D73" s="36" t="s">
        <v>138</v>
      </c>
      <c r="E73" s="42" t="s">
        <v>5</v>
      </c>
      <c r="F73" s="42">
        <v>0</v>
      </c>
      <c r="G73" s="174">
        <v>1</v>
      </c>
      <c r="H73" s="39">
        <v>0</v>
      </c>
      <c r="I73" s="200"/>
      <c r="J73" s="162">
        <v>0</v>
      </c>
      <c r="K73" s="39">
        <v>0</v>
      </c>
      <c r="L73" s="39">
        <v>0</v>
      </c>
      <c r="M73" s="39">
        <v>0</v>
      </c>
      <c r="N73" s="39">
        <v>0</v>
      </c>
      <c r="O73" s="39">
        <v>0</v>
      </c>
      <c r="P73" s="39">
        <v>0</v>
      </c>
      <c r="Q73" s="39">
        <v>0</v>
      </c>
      <c r="R73" s="39">
        <v>0</v>
      </c>
      <c r="S73" s="42">
        <v>0</v>
      </c>
      <c r="T73" s="42"/>
      <c r="U73" s="42"/>
      <c r="V73" s="105">
        <f t="shared" si="9"/>
        <v>1</v>
      </c>
      <c r="W73" s="47">
        <f t="shared" si="8"/>
        <v>0</v>
      </c>
      <c r="X73" s="42"/>
      <c r="Y73" s="42"/>
      <c r="Z73" s="42"/>
      <c r="AA73" s="42"/>
      <c r="AB73" s="354"/>
      <c r="AC73" s="355"/>
      <c r="AD73" s="232">
        <v>2</v>
      </c>
    </row>
    <row r="74" spans="1:32" s="35" customFormat="1" ht="15" customHeight="1">
      <c r="A74" s="42">
        <v>15</v>
      </c>
      <c r="B74" s="42">
        <v>70</v>
      </c>
      <c r="C74" s="42" t="s">
        <v>203</v>
      </c>
      <c r="D74" s="36" t="s">
        <v>138</v>
      </c>
      <c r="E74" s="42" t="s">
        <v>5</v>
      </c>
      <c r="F74" s="42">
        <v>0</v>
      </c>
      <c r="G74" s="174">
        <v>1</v>
      </c>
      <c r="H74" s="39">
        <v>0</v>
      </c>
      <c r="I74" s="200"/>
      <c r="J74" s="162">
        <v>0</v>
      </c>
      <c r="K74" s="39">
        <v>0</v>
      </c>
      <c r="L74" s="39">
        <v>0</v>
      </c>
      <c r="M74" s="39">
        <v>0</v>
      </c>
      <c r="N74" s="39">
        <v>0</v>
      </c>
      <c r="O74" s="39">
        <v>0</v>
      </c>
      <c r="P74" s="39">
        <v>0</v>
      </c>
      <c r="Q74" s="39">
        <v>0</v>
      </c>
      <c r="R74" s="39">
        <v>0</v>
      </c>
      <c r="S74" s="42">
        <v>0</v>
      </c>
      <c r="T74" s="42"/>
      <c r="U74" s="42"/>
      <c r="V74" s="105">
        <f t="shared" si="9"/>
        <v>1</v>
      </c>
      <c r="W74" s="47">
        <f t="shared" si="8"/>
        <v>0</v>
      </c>
      <c r="X74" s="42"/>
      <c r="Y74" s="42"/>
      <c r="Z74" s="42"/>
      <c r="AA74" s="42"/>
      <c r="AB74" s="354"/>
      <c r="AC74" s="355"/>
      <c r="AD74" s="232">
        <v>2</v>
      </c>
    </row>
    <row r="75" spans="1:32" s="35" customFormat="1" ht="15" customHeight="1">
      <c r="A75" s="42">
        <v>16</v>
      </c>
      <c r="B75" s="42">
        <v>71</v>
      </c>
      <c r="C75" s="42" t="s">
        <v>204</v>
      </c>
      <c r="D75" s="36" t="s">
        <v>140</v>
      </c>
      <c r="E75" s="42" t="s">
        <v>5</v>
      </c>
      <c r="F75" s="42">
        <v>0</v>
      </c>
      <c r="G75" s="174">
        <v>1</v>
      </c>
      <c r="H75" s="39">
        <v>0</v>
      </c>
      <c r="I75" s="200"/>
      <c r="J75" s="162">
        <v>0</v>
      </c>
      <c r="K75" s="39">
        <v>0</v>
      </c>
      <c r="L75" s="39">
        <v>0</v>
      </c>
      <c r="M75" s="39">
        <v>0</v>
      </c>
      <c r="N75" s="39">
        <v>0</v>
      </c>
      <c r="O75" s="39">
        <v>0</v>
      </c>
      <c r="P75" s="39">
        <v>0</v>
      </c>
      <c r="Q75" s="39">
        <v>0</v>
      </c>
      <c r="R75" s="39">
        <v>0</v>
      </c>
      <c r="S75" s="42">
        <v>0</v>
      </c>
      <c r="T75" s="42"/>
      <c r="U75" s="42"/>
      <c r="V75" s="105">
        <f t="shared" si="9"/>
        <v>1</v>
      </c>
      <c r="W75" s="47">
        <f t="shared" si="8"/>
        <v>0</v>
      </c>
      <c r="X75" s="42"/>
      <c r="Y75" s="42"/>
      <c r="Z75" s="42"/>
      <c r="AA75" s="42"/>
      <c r="AB75" s="354"/>
      <c r="AC75" s="355"/>
      <c r="AD75" s="144">
        <v>1</v>
      </c>
    </row>
    <row r="76" spans="1:32" s="143" customFormat="1" ht="31.5" customHeight="1">
      <c r="A76" s="167">
        <v>17</v>
      </c>
      <c r="B76" s="167">
        <v>72</v>
      </c>
      <c r="C76" s="167" t="s">
        <v>205</v>
      </c>
      <c r="D76" s="226" t="s">
        <v>206</v>
      </c>
      <c r="E76" s="167" t="s">
        <v>5</v>
      </c>
      <c r="F76" s="167">
        <v>0</v>
      </c>
      <c r="G76" s="175">
        <v>1</v>
      </c>
      <c r="H76" s="167">
        <v>0</v>
      </c>
      <c r="I76" s="200"/>
      <c r="J76" s="170">
        <v>0</v>
      </c>
      <c r="K76" s="249">
        <v>1</v>
      </c>
      <c r="L76" s="167">
        <v>0</v>
      </c>
      <c r="M76" s="167">
        <v>0</v>
      </c>
      <c r="N76" s="167">
        <v>0</v>
      </c>
      <c r="O76" s="167">
        <v>0</v>
      </c>
      <c r="P76" s="167">
        <v>0</v>
      </c>
      <c r="Q76" s="167">
        <v>0</v>
      </c>
      <c r="R76" s="39">
        <v>0</v>
      </c>
      <c r="S76" s="167">
        <v>1</v>
      </c>
      <c r="T76" s="167" t="s">
        <v>552</v>
      </c>
      <c r="U76" s="167" t="s">
        <v>558</v>
      </c>
      <c r="V76" s="105">
        <f>F76+G76+J76+K76+L76+M76+N76+O76+P76+Q76-S76</f>
        <v>1</v>
      </c>
      <c r="W76" s="167">
        <f t="shared" si="8"/>
        <v>0</v>
      </c>
      <c r="X76" s="225" t="s">
        <v>559</v>
      </c>
      <c r="Y76" s="225" t="s">
        <v>617</v>
      </c>
      <c r="Z76" s="167" t="s">
        <v>676</v>
      </c>
      <c r="AA76" s="167" t="s">
        <v>672</v>
      </c>
      <c r="AB76" s="352"/>
      <c r="AC76" s="353"/>
      <c r="AD76" s="285">
        <v>1</v>
      </c>
    </row>
    <row r="77" spans="1:32" s="35" customFormat="1" ht="15" customHeight="1">
      <c r="A77" s="42">
        <v>18</v>
      </c>
      <c r="B77" s="42">
        <v>73</v>
      </c>
      <c r="C77" s="39" t="s">
        <v>207</v>
      </c>
      <c r="D77" s="45" t="s">
        <v>208</v>
      </c>
      <c r="E77" s="42" t="s">
        <v>5</v>
      </c>
      <c r="F77" s="42">
        <v>0</v>
      </c>
      <c r="G77" s="174">
        <v>1</v>
      </c>
      <c r="H77" s="39">
        <v>0</v>
      </c>
      <c r="I77" s="200"/>
      <c r="J77" s="162">
        <v>0</v>
      </c>
      <c r="K77" s="39">
        <v>0</v>
      </c>
      <c r="L77" s="39">
        <v>0</v>
      </c>
      <c r="M77" s="39">
        <v>0</v>
      </c>
      <c r="N77" s="39">
        <v>0</v>
      </c>
      <c r="O77" s="39">
        <v>0</v>
      </c>
      <c r="P77" s="39">
        <v>0</v>
      </c>
      <c r="Q77" s="39">
        <v>0</v>
      </c>
      <c r="R77" s="39">
        <v>0</v>
      </c>
      <c r="S77" s="42">
        <v>0</v>
      </c>
      <c r="T77" s="42"/>
      <c r="U77" s="42"/>
      <c r="V77" s="105">
        <f>F77+G77+J77+K77+L77+M77+N77+O77-S77</f>
        <v>1</v>
      </c>
      <c r="W77" s="47">
        <f t="shared" si="8"/>
        <v>0</v>
      </c>
      <c r="X77" s="42"/>
      <c r="Y77" s="42"/>
      <c r="Z77" s="42"/>
      <c r="AA77" s="42"/>
      <c r="AB77" s="354"/>
      <c r="AC77" s="355"/>
      <c r="AD77" s="144">
        <v>1</v>
      </c>
    </row>
    <row r="78" spans="1:32" s="35" customFormat="1" ht="15" customHeight="1">
      <c r="A78" s="42">
        <v>19</v>
      </c>
      <c r="B78" s="42">
        <v>74</v>
      </c>
      <c r="C78" s="39" t="s">
        <v>209</v>
      </c>
      <c r="D78" s="45" t="s">
        <v>146</v>
      </c>
      <c r="E78" s="42" t="s">
        <v>5</v>
      </c>
      <c r="F78" s="42">
        <v>0</v>
      </c>
      <c r="G78" s="174">
        <v>1</v>
      </c>
      <c r="H78" s="39">
        <v>0</v>
      </c>
      <c r="I78" s="200"/>
      <c r="J78" s="162">
        <v>0</v>
      </c>
      <c r="K78" s="39">
        <v>0</v>
      </c>
      <c r="L78" s="39">
        <v>0</v>
      </c>
      <c r="M78" s="39">
        <v>0</v>
      </c>
      <c r="N78" s="39">
        <v>0</v>
      </c>
      <c r="O78" s="39">
        <v>0</v>
      </c>
      <c r="P78" s="39">
        <v>0</v>
      </c>
      <c r="Q78" s="39">
        <v>0</v>
      </c>
      <c r="R78" s="39">
        <v>0</v>
      </c>
      <c r="S78" s="42">
        <v>0</v>
      </c>
      <c r="T78" s="42"/>
      <c r="U78" s="42"/>
      <c r="V78" s="105">
        <f>F78+G78+J78+K78+L78+M78+N78+O78-S78</f>
        <v>1</v>
      </c>
      <c r="W78" s="47">
        <f t="shared" si="8"/>
        <v>0</v>
      </c>
      <c r="X78" s="42"/>
      <c r="Y78" s="42"/>
      <c r="Z78" s="42"/>
      <c r="AA78" s="42"/>
      <c r="AB78" s="354"/>
      <c r="AC78" s="355"/>
      <c r="AD78" s="144">
        <v>1</v>
      </c>
    </row>
    <row r="79" spans="1:32" s="35" customFormat="1" ht="15" customHeight="1">
      <c r="A79" s="42">
        <v>20</v>
      </c>
      <c r="B79" s="42">
        <v>75</v>
      </c>
      <c r="C79" s="39" t="s">
        <v>210</v>
      </c>
      <c r="D79" s="45" t="s">
        <v>211</v>
      </c>
      <c r="E79" s="42" t="s">
        <v>5</v>
      </c>
      <c r="F79" s="42">
        <v>0</v>
      </c>
      <c r="G79" s="174">
        <v>1</v>
      </c>
      <c r="H79" s="39">
        <v>0</v>
      </c>
      <c r="I79" s="200"/>
      <c r="J79" s="162">
        <v>0</v>
      </c>
      <c r="K79" s="39">
        <v>0</v>
      </c>
      <c r="L79" s="39">
        <v>0</v>
      </c>
      <c r="M79" s="39">
        <v>0</v>
      </c>
      <c r="N79" s="39">
        <v>0</v>
      </c>
      <c r="O79" s="39">
        <v>0</v>
      </c>
      <c r="P79" s="39">
        <v>0</v>
      </c>
      <c r="Q79" s="39">
        <v>0</v>
      </c>
      <c r="R79" s="39">
        <v>0</v>
      </c>
      <c r="S79" s="42">
        <v>0</v>
      </c>
      <c r="T79" s="42"/>
      <c r="U79" s="42"/>
      <c r="V79" s="105">
        <f>F79+G79+J79+K79+L79+M79+N79+O79-S79</f>
        <v>1</v>
      </c>
      <c r="W79" s="47">
        <f t="shared" si="8"/>
        <v>0</v>
      </c>
      <c r="X79" s="42"/>
      <c r="Y79" s="42"/>
      <c r="Z79" s="42"/>
      <c r="AA79" s="42"/>
      <c r="AB79" s="354"/>
      <c r="AC79" s="355"/>
      <c r="AD79" s="144">
        <v>1</v>
      </c>
    </row>
    <row r="80" spans="1:32" s="35" customFormat="1" ht="15" customHeight="1">
      <c r="A80" s="42">
        <v>21</v>
      </c>
      <c r="B80" s="42">
        <v>76</v>
      </c>
      <c r="C80" s="39" t="s">
        <v>212</v>
      </c>
      <c r="D80" s="45" t="s">
        <v>211</v>
      </c>
      <c r="E80" s="42" t="s">
        <v>5</v>
      </c>
      <c r="F80" s="42">
        <v>0</v>
      </c>
      <c r="G80" s="174">
        <v>1</v>
      </c>
      <c r="H80" s="39">
        <v>0</v>
      </c>
      <c r="I80" s="200"/>
      <c r="J80" s="162">
        <v>0</v>
      </c>
      <c r="K80" s="39">
        <v>0</v>
      </c>
      <c r="L80" s="39">
        <v>0</v>
      </c>
      <c r="M80" s="39">
        <v>0</v>
      </c>
      <c r="N80" s="39">
        <v>0</v>
      </c>
      <c r="O80" s="39">
        <v>0</v>
      </c>
      <c r="P80" s="39">
        <v>0</v>
      </c>
      <c r="Q80" s="39">
        <v>0</v>
      </c>
      <c r="R80" s="39">
        <v>0</v>
      </c>
      <c r="S80" s="42">
        <v>0</v>
      </c>
      <c r="T80" s="42"/>
      <c r="U80" s="42"/>
      <c r="V80" s="105">
        <f>F80+G80+J80+K80+L80+M80+N80+O80-S80</f>
        <v>1</v>
      </c>
      <c r="W80" s="47">
        <f t="shared" si="8"/>
        <v>0</v>
      </c>
      <c r="X80" s="42"/>
      <c r="Y80" s="42"/>
      <c r="Z80" s="42"/>
      <c r="AA80" s="42"/>
      <c r="AB80" s="354"/>
      <c r="AC80" s="355"/>
      <c r="AD80" s="144">
        <v>1</v>
      </c>
    </row>
    <row r="81" spans="1:30" s="35" customFormat="1" ht="15" customHeight="1">
      <c r="A81" s="167">
        <v>22</v>
      </c>
      <c r="B81" s="167">
        <v>77</v>
      </c>
      <c r="C81" s="167" t="s">
        <v>213</v>
      </c>
      <c r="D81" s="171" t="s">
        <v>214</v>
      </c>
      <c r="E81" s="167" t="s">
        <v>3</v>
      </c>
      <c r="F81" s="167">
        <v>0</v>
      </c>
      <c r="G81" s="175">
        <v>2</v>
      </c>
      <c r="H81" s="167">
        <v>0</v>
      </c>
      <c r="I81" s="200"/>
      <c r="J81" s="170">
        <v>0</v>
      </c>
      <c r="K81" s="167">
        <v>0</v>
      </c>
      <c r="L81" s="167">
        <v>0</v>
      </c>
      <c r="M81" s="167">
        <v>0</v>
      </c>
      <c r="N81" s="167">
        <v>0</v>
      </c>
      <c r="O81" s="167">
        <v>0</v>
      </c>
      <c r="P81" s="167">
        <v>0</v>
      </c>
      <c r="Q81" s="167">
        <v>0</v>
      </c>
      <c r="R81" s="39">
        <v>0</v>
      </c>
      <c r="S81" s="167">
        <v>2</v>
      </c>
      <c r="T81" s="167" t="s">
        <v>618</v>
      </c>
      <c r="U81" s="167" t="s">
        <v>619</v>
      </c>
      <c r="V81" s="105">
        <f>F81+G81+J81+K81+L81+M81+N81+O81+P81+Q81-S81</f>
        <v>0</v>
      </c>
      <c r="W81" s="167">
        <f t="shared" si="8"/>
        <v>2</v>
      </c>
      <c r="X81" s="167"/>
      <c r="Y81" s="167"/>
      <c r="Z81" s="167" t="s">
        <v>625</v>
      </c>
      <c r="AA81" s="167"/>
      <c r="AB81" s="356" t="s">
        <v>622</v>
      </c>
      <c r="AC81" s="357"/>
      <c r="AD81" s="232">
        <v>4</v>
      </c>
    </row>
    <row r="82" spans="1:30" s="35" customFormat="1" ht="15" customHeight="1">
      <c r="A82" s="42">
        <v>23</v>
      </c>
      <c r="B82" s="42">
        <v>78</v>
      </c>
      <c r="C82" s="39" t="s">
        <v>215</v>
      </c>
      <c r="D82" s="45" t="s">
        <v>216</v>
      </c>
      <c r="E82" s="42" t="s">
        <v>5</v>
      </c>
      <c r="F82" s="42">
        <v>0</v>
      </c>
      <c r="G82" s="174">
        <v>1</v>
      </c>
      <c r="H82" s="39">
        <v>0</v>
      </c>
      <c r="I82" s="200"/>
      <c r="J82" s="162">
        <v>0</v>
      </c>
      <c r="K82" s="39">
        <v>0</v>
      </c>
      <c r="L82" s="39">
        <v>0</v>
      </c>
      <c r="M82" s="39">
        <v>0</v>
      </c>
      <c r="N82" s="39">
        <v>0</v>
      </c>
      <c r="O82" s="39">
        <v>0</v>
      </c>
      <c r="P82" s="39">
        <v>0</v>
      </c>
      <c r="Q82" s="39">
        <v>0</v>
      </c>
      <c r="R82" s="39">
        <v>0</v>
      </c>
      <c r="S82" s="42">
        <v>0</v>
      </c>
      <c r="T82" s="42"/>
      <c r="U82" s="42"/>
      <c r="V82" s="105">
        <f>F82+G82+J82+K82+L82+M82+N82+O82-S82</f>
        <v>1</v>
      </c>
      <c r="W82" s="47">
        <f t="shared" si="8"/>
        <v>0</v>
      </c>
      <c r="X82" s="42"/>
      <c r="Y82" s="42"/>
      <c r="Z82" s="42"/>
      <c r="AA82" s="42"/>
      <c r="AB82" s="354"/>
      <c r="AC82" s="355"/>
      <c r="AD82" s="232">
        <v>2</v>
      </c>
    </row>
    <row r="83" spans="1:30" s="143" customFormat="1" ht="15" customHeight="1">
      <c r="A83" s="167">
        <v>24</v>
      </c>
      <c r="B83" s="167">
        <v>79</v>
      </c>
      <c r="C83" s="167" t="s">
        <v>217</v>
      </c>
      <c r="D83" s="171" t="s">
        <v>218</v>
      </c>
      <c r="E83" s="167" t="s">
        <v>5</v>
      </c>
      <c r="F83" s="167">
        <v>0</v>
      </c>
      <c r="G83" s="175">
        <v>1</v>
      </c>
      <c r="H83" s="167">
        <v>0</v>
      </c>
      <c r="I83" s="200"/>
      <c r="J83" s="170">
        <v>0</v>
      </c>
      <c r="K83" s="167">
        <v>0</v>
      </c>
      <c r="L83" s="167">
        <v>0</v>
      </c>
      <c r="M83" s="249">
        <v>1</v>
      </c>
      <c r="N83" s="167">
        <v>0</v>
      </c>
      <c r="O83" s="167">
        <v>0</v>
      </c>
      <c r="P83" s="167">
        <v>0</v>
      </c>
      <c r="Q83" s="167">
        <v>0</v>
      </c>
      <c r="R83" s="39">
        <v>0</v>
      </c>
      <c r="S83" s="167">
        <v>1</v>
      </c>
      <c r="T83" s="167" t="s">
        <v>554</v>
      </c>
      <c r="U83" s="167" t="s">
        <v>555</v>
      </c>
      <c r="V83" s="105">
        <f>F83+G83+J83+K83+L83+M83+N83+O83+P83+Q83-S83</f>
        <v>1</v>
      </c>
      <c r="W83" s="167">
        <f t="shared" si="8"/>
        <v>0</v>
      </c>
      <c r="X83" s="167" t="s">
        <v>556</v>
      </c>
      <c r="Y83" s="167" t="s">
        <v>620</v>
      </c>
      <c r="Z83" s="167" t="s">
        <v>557</v>
      </c>
      <c r="AA83" s="167"/>
      <c r="AB83" s="352"/>
      <c r="AC83" s="353"/>
      <c r="AD83" s="285">
        <v>1</v>
      </c>
    </row>
    <row r="84" spans="1:30" s="35" customFormat="1" ht="15" customHeight="1">
      <c r="A84" s="42">
        <v>25</v>
      </c>
      <c r="B84" s="42">
        <v>80</v>
      </c>
      <c r="C84" s="39" t="s">
        <v>219</v>
      </c>
      <c r="D84" s="45" t="s">
        <v>218</v>
      </c>
      <c r="E84" s="42" t="s">
        <v>5</v>
      </c>
      <c r="F84" s="42">
        <v>0</v>
      </c>
      <c r="G84" s="174">
        <v>1</v>
      </c>
      <c r="H84" s="39">
        <v>0</v>
      </c>
      <c r="I84" s="200"/>
      <c r="J84" s="162">
        <v>0</v>
      </c>
      <c r="K84" s="39">
        <v>0</v>
      </c>
      <c r="L84" s="39">
        <v>0</v>
      </c>
      <c r="M84" s="39">
        <v>0</v>
      </c>
      <c r="N84" s="39">
        <v>0</v>
      </c>
      <c r="O84" s="39">
        <v>0</v>
      </c>
      <c r="P84" s="39">
        <v>0</v>
      </c>
      <c r="Q84" s="39">
        <v>0</v>
      </c>
      <c r="R84" s="39">
        <v>0</v>
      </c>
      <c r="S84" s="42">
        <v>0</v>
      </c>
      <c r="T84" s="42"/>
      <c r="U84" s="42"/>
      <c r="V84" s="105">
        <f>F84+G84+J84+K84+L84+M84+N84+O84-S84</f>
        <v>1</v>
      </c>
      <c r="W84" s="47">
        <f t="shared" si="8"/>
        <v>0</v>
      </c>
      <c r="X84" s="42"/>
      <c r="Y84" s="42"/>
      <c r="Z84" s="42"/>
      <c r="AA84" s="42"/>
      <c r="AB84" s="354"/>
      <c r="AC84" s="355"/>
      <c r="AD84" s="144">
        <v>1</v>
      </c>
    </row>
    <row r="85" spans="1:30" s="35" customFormat="1" ht="15" customHeight="1">
      <c r="A85" s="42">
        <v>26</v>
      </c>
      <c r="B85" s="42">
        <v>81</v>
      </c>
      <c r="C85" s="42" t="s">
        <v>220</v>
      </c>
      <c r="D85" s="36" t="s">
        <v>132</v>
      </c>
      <c r="E85" s="42" t="s">
        <v>5</v>
      </c>
      <c r="F85" s="42">
        <v>0</v>
      </c>
      <c r="G85" s="174">
        <v>1</v>
      </c>
      <c r="H85" s="39">
        <v>0</v>
      </c>
      <c r="I85" s="200"/>
      <c r="J85" s="162">
        <v>0</v>
      </c>
      <c r="K85" s="39">
        <v>0</v>
      </c>
      <c r="L85" s="39">
        <v>0</v>
      </c>
      <c r="M85" s="39">
        <v>0</v>
      </c>
      <c r="N85" s="39">
        <v>0</v>
      </c>
      <c r="O85" s="39">
        <v>0</v>
      </c>
      <c r="P85" s="39">
        <v>0</v>
      </c>
      <c r="Q85" s="39">
        <v>0</v>
      </c>
      <c r="R85" s="39">
        <v>0</v>
      </c>
      <c r="S85" s="42">
        <v>0</v>
      </c>
      <c r="T85" s="42"/>
      <c r="U85" s="42"/>
      <c r="V85" s="105">
        <f>F85+G85+J85+K85+L85+M85+N85+O85-S85</f>
        <v>1</v>
      </c>
      <c r="W85" s="47">
        <f t="shared" si="8"/>
        <v>0</v>
      </c>
      <c r="X85" s="42"/>
      <c r="Y85" s="42"/>
      <c r="Z85" s="42"/>
      <c r="AA85" s="42"/>
      <c r="AB85" s="354"/>
      <c r="AC85" s="355"/>
      <c r="AD85" s="144">
        <v>1</v>
      </c>
    </row>
    <row r="86" spans="1:30" s="35" customFormat="1" ht="15" customHeight="1">
      <c r="A86" s="177">
        <v>27</v>
      </c>
      <c r="B86" s="177">
        <v>82</v>
      </c>
      <c r="C86" s="177" t="s">
        <v>221</v>
      </c>
      <c r="D86" s="178" t="s">
        <v>222</v>
      </c>
      <c r="E86" s="177" t="s">
        <v>5</v>
      </c>
      <c r="F86" s="177">
        <v>0</v>
      </c>
      <c r="G86" s="179">
        <v>1</v>
      </c>
      <c r="H86" s="39">
        <v>0</v>
      </c>
      <c r="I86" s="200"/>
      <c r="J86" s="162">
        <v>0</v>
      </c>
      <c r="K86" s="180">
        <v>0</v>
      </c>
      <c r="L86" s="180">
        <v>0</v>
      </c>
      <c r="M86" s="180">
        <v>0</v>
      </c>
      <c r="N86" s="180">
        <v>0</v>
      </c>
      <c r="O86" s="180">
        <v>0</v>
      </c>
      <c r="P86" s="39">
        <v>0</v>
      </c>
      <c r="Q86" s="39">
        <v>0</v>
      </c>
      <c r="R86" s="39">
        <v>0</v>
      </c>
      <c r="S86" s="42">
        <v>0</v>
      </c>
      <c r="T86" s="42"/>
      <c r="U86" s="42"/>
      <c r="V86" s="105">
        <f>F86+G86+J86+K86+L86+M86+N86+O86-S86</f>
        <v>1</v>
      </c>
      <c r="W86" s="47">
        <f t="shared" si="8"/>
        <v>0</v>
      </c>
      <c r="X86" s="42"/>
      <c r="Y86" s="42"/>
      <c r="Z86" s="42"/>
      <c r="AA86" s="42"/>
      <c r="AB86" s="354"/>
      <c r="AC86" s="355"/>
      <c r="AD86" s="144">
        <v>1</v>
      </c>
    </row>
    <row r="87" spans="1:30">
      <c r="A87" s="14">
        <v>1</v>
      </c>
      <c r="B87" s="42">
        <v>83</v>
      </c>
      <c r="C87" s="39" t="s">
        <v>627</v>
      </c>
      <c r="D87" s="45" t="s">
        <v>628</v>
      </c>
      <c r="E87" s="42" t="s">
        <v>5</v>
      </c>
      <c r="F87" s="181">
        <v>0</v>
      </c>
      <c r="G87" s="14">
        <v>0</v>
      </c>
      <c r="H87" s="14">
        <v>2</v>
      </c>
      <c r="I87" s="201"/>
      <c r="J87" s="12">
        <v>0</v>
      </c>
      <c r="K87" s="14">
        <v>0</v>
      </c>
      <c r="L87" s="180">
        <v>0</v>
      </c>
      <c r="M87" s="180">
        <v>0</v>
      </c>
      <c r="N87" s="180">
        <v>0</v>
      </c>
      <c r="O87" s="180">
        <v>0</v>
      </c>
      <c r="P87" s="39">
        <v>0</v>
      </c>
      <c r="Q87" s="39">
        <v>0</v>
      </c>
      <c r="R87" s="39">
        <v>0</v>
      </c>
      <c r="S87" s="42">
        <v>0</v>
      </c>
      <c r="T87" s="1"/>
      <c r="U87" s="1"/>
      <c r="V87" s="106">
        <f>F87+G87+H87+J87+K87+L87+M87+N87+O87-S87</f>
        <v>2</v>
      </c>
      <c r="W87" s="14">
        <f t="shared" ref="W87:W92" si="10">V87-H87</f>
        <v>0</v>
      </c>
      <c r="X87" s="1"/>
      <c r="Y87" s="1"/>
      <c r="Z87" s="1"/>
      <c r="AA87" s="14"/>
      <c r="AB87" s="354"/>
      <c r="AC87" s="355"/>
      <c r="AD87" s="181">
        <v>2</v>
      </c>
    </row>
    <row r="88" spans="1:30">
      <c r="A88" s="214">
        <v>2</v>
      </c>
      <c r="B88" s="167">
        <v>84</v>
      </c>
      <c r="C88" s="215" t="s">
        <v>630</v>
      </c>
      <c r="D88" s="216" t="s">
        <v>631</v>
      </c>
      <c r="E88" s="167" t="s">
        <v>5</v>
      </c>
      <c r="F88" s="215">
        <v>0</v>
      </c>
      <c r="G88" s="214">
        <v>0</v>
      </c>
      <c r="H88" s="214">
        <v>1</v>
      </c>
      <c r="I88" s="201"/>
      <c r="J88" s="217">
        <v>0</v>
      </c>
      <c r="K88" s="214">
        <v>0</v>
      </c>
      <c r="L88" s="218">
        <v>0</v>
      </c>
      <c r="M88" s="218">
        <v>0</v>
      </c>
      <c r="N88" s="218">
        <v>0</v>
      </c>
      <c r="O88" s="218">
        <v>0</v>
      </c>
      <c r="P88" s="167">
        <v>0</v>
      </c>
      <c r="Q88" s="167">
        <v>0</v>
      </c>
      <c r="R88" s="249">
        <v>1</v>
      </c>
      <c r="S88" s="167">
        <v>1</v>
      </c>
      <c r="T88" s="216" t="s">
        <v>554</v>
      </c>
      <c r="U88" s="216" t="s">
        <v>699</v>
      </c>
      <c r="V88" s="106">
        <f>F88+G88+H88+J88+K88+L88+M88+N88+O88+P88+Q88+R88-S88</f>
        <v>1</v>
      </c>
      <c r="W88" s="214">
        <f t="shared" si="10"/>
        <v>0</v>
      </c>
      <c r="X88" s="216" t="s">
        <v>683</v>
      </c>
      <c r="Y88" s="216" t="s">
        <v>682</v>
      </c>
      <c r="Z88" s="216" t="s">
        <v>681</v>
      </c>
      <c r="AA88" s="214" t="s">
        <v>781</v>
      </c>
      <c r="AB88" s="356"/>
      <c r="AC88" s="357"/>
      <c r="AD88" s="181">
        <v>1</v>
      </c>
    </row>
    <row r="89" spans="1:30">
      <c r="A89" s="14">
        <v>3</v>
      </c>
      <c r="B89" s="42">
        <v>85</v>
      </c>
      <c r="C89" s="181" t="s">
        <v>632</v>
      </c>
      <c r="D89" s="1" t="s">
        <v>633</v>
      </c>
      <c r="E89" s="42" t="s">
        <v>5</v>
      </c>
      <c r="F89" s="181">
        <v>0</v>
      </c>
      <c r="G89" s="14">
        <v>0</v>
      </c>
      <c r="H89" s="14">
        <v>1</v>
      </c>
      <c r="I89" s="201"/>
      <c r="J89" s="12">
        <v>0</v>
      </c>
      <c r="K89" s="14">
        <v>0</v>
      </c>
      <c r="L89" s="180">
        <v>0</v>
      </c>
      <c r="M89" s="180">
        <v>0</v>
      </c>
      <c r="N89" s="180">
        <v>0</v>
      </c>
      <c r="O89" s="180">
        <v>0</v>
      </c>
      <c r="P89" s="39">
        <v>0</v>
      </c>
      <c r="Q89" s="39">
        <v>0</v>
      </c>
      <c r="R89" s="39">
        <v>0</v>
      </c>
      <c r="S89" s="42">
        <v>0</v>
      </c>
      <c r="T89" s="1"/>
      <c r="U89" s="1"/>
      <c r="V89" s="106">
        <f>F89+G89+H89+J89+K89+L89+M89+N89+O89-S89</f>
        <v>1</v>
      </c>
      <c r="W89" s="14">
        <f t="shared" si="10"/>
        <v>0</v>
      </c>
      <c r="X89" s="1"/>
      <c r="Y89" s="1"/>
      <c r="Z89" s="1"/>
      <c r="AA89" s="14"/>
      <c r="AB89" s="354"/>
      <c r="AC89" s="355"/>
      <c r="AD89" s="181">
        <v>1</v>
      </c>
    </row>
    <row r="90" spans="1:30">
      <c r="A90" s="14">
        <v>4</v>
      </c>
      <c r="B90" s="42">
        <v>86</v>
      </c>
      <c r="C90" s="181" t="s">
        <v>634</v>
      </c>
      <c r="D90" s="1" t="s">
        <v>635</v>
      </c>
      <c r="E90" s="42" t="s">
        <v>5</v>
      </c>
      <c r="F90" s="181">
        <v>0</v>
      </c>
      <c r="G90" s="14">
        <v>0</v>
      </c>
      <c r="H90" s="14">
        <v>1</v>
      </c>
      <c r="I90" s="201"/>
      <c r="J90" s="12">
        <v>0</v>
      </c>
      <c r="K90" s="14">
        <v>0</v>
      </c>
      <c r="L90" s="180">
        <v>0</v>
      </c>
      <c r="M90" s="180">
        <v>0</v>
      </c>
      <c r="N90" s="180">
        <v>0</v>
      </c>
      <c r="O90" s="180">
        <v>0</v>
      </c>
      <c r="P90" s="39">
        <v>0</v>
      </c>
      <c r="Q90" s="39">
        <v>0</v>
      </c>
      <c r="R90" s="39">
        <v>0</v>
      </c>
      <c r="S90" s="42">
        <v>0</v>
      </c>
      <c r="T90" s="1"/>
      <c r="U90" s="1"/>
      <c r="V90" s="106">
        <f>F90+G90+H90+J90+K90+L90+M90+N90+O90-S90</f>
        <v>1</v>
      </c>
      <c r="W90" s="14">
        <f t="shared" si="10"/>
        <v>0</v>
      </c>
      <c r="X90" s="1"/>
      <c r="Y90" s="1"/>
      <c r="Z90" s="1"/>
      <c r="AA90" s="14"/>
      <c r="AB90" s="354"/>
      <c r="AC90" s="355"/>
      <c r="AD90" s="181">
        <v>1</v>
      </c>
    </row>
    <row r="91" spans="1:30">
      <c r="A91" s="14">
        <v>5</v>
      </c>
      <c r="B91" s="42">
        <v>87</v>
      </c>
      <c r="C91" s="181" t="s">
        <v>636</v>
      </c>
      <c r="D91" s="1" t="s">
        <v>637</v>
      </c>
      <c r="E91" s="42" t="s">
        <v>5</v>
      </c>
      <c r="F91" s="181">
        <v>0</v>
      </c>
      <c r="G91" s="14">
        <v>0</v>
      </c>
      <c r="H91" s="14">
        <v>2</v>
      </c>
      <c r="I91" s="201"/>
      <c r="J91" s="12">
        <v>0</v>
      </c>
      <c r="K91" s="14">
        <v>0</v>
      </c>
      <c r="L91" s="180">
        <v>0</v>
      </c>
      <c r="M91" s="180">
        <v>0</v>
      </c>
      <c r="N91" s="180">
        <v>0</v>
      </c>
      <c r="O91" s="180">
        <v>0</v>
      </c>
      <c r="P91" s="39">
        <v>0</v>
      </c>
      <c r="Q91" s="39">
        <v>0</v>
      </c>
      <c r="R91" s="39">
        <v>0</v>
      </c>
      <c r="S91" s="42">
        <v>0</v>
      </c>
      <c r="T91" s="1"/>
      <c r="U91" s="1"/>
      <c r="V91" s="106">
        <f>F91+G91+H91+J91+K91+L91+M91+N91+O91-S91</f>
        <v>2</v>
      </c>
      <c r="W91" s="14">
        <f t="shared" si="10"/>
        <v>0</v>
      </c>
      <c r="X91" s="1"/>
      <c r="Y91" s="1"/>
      <c r="Z91" s="1"/>
      <c r="AA91" s="14"/>
      <c r="AB91" s="354"/>
      <c r="AC91" s="355"/>
      <c r="AD91" s="448">
        <v>4</v>
      </c>
    </row>
    <row r="92" spans="1:30">
      <c r="A92" s="281">
        <v>1</v>
      </c>
      <c r="B92" s="177">
        <v>88</v>
      </c>
      <c r="C92" s="286" t="s">
        <v>638</v>
      </c>
      <c r="D92" s="41" t="s">
        <v>654</v>
      </c>
      <c r="E92" s="177" t="s">
        <v>5</v>
      </c>
      <c r="F92" s="286">
        <v>0</v>
      </c>
      <c r="G92" s="281">
        <v>0</v>
      </c>
      <c r="H92" s="281">
        <v>1</v>
      </c>
      <c r="I92" s="287"/>
      <c r="J92" s="288">
        <v>0</v>
      </c>
      <c r="K92" s="281">
        <v>0</v>
      </c>
      <c r="L92" s="180">
        <v>0</v>
      </c>
      <c r="M92" s="180">
        <v>0</v>
      </c>
      <c r="N92" s="180">
        <v>0</v>
      </c>
      <c r="O92" s="180">
        <v>0</v>
      </c>
      <c r="P92" s="180">
        <v>0</v>
      </c>
      <c r="Q92" s="180">
        <v>0</v>
      </c>
      <c r="R92" s="180">
        <v>0</v>
      </c>
      <c r="S92" s="177">
        <v>0</v>
      </c>
      <c r="T92" s="41"/>
      <c r="U92" s="41"/>
      <c r="V92" s="289">
        <f>F92+G92+H92+J92+K92+L92+M92+N92+O92-S92</f>
        <v>1</v>
      </c>
      <c r="W92" s="281">
        <f t="shared" si="10"/>
        <v>0</v>
      </c>
      <c r="X92" s="41"/>
      <c r="Y92" s="41"/>
      <c r="Z92" s="41"/>
      <c r="AA92" s="281"/>
      <c r="AB92" s="365"/>
      <c r="AC92" s="366"/>
      <c r="AD92" s="181">
        <v>1</v>
      </c>
    </row>
    <row r="93" spans="1:30">
      <c r="A93" s="14"/>
      <c r="B93" s="42">
        <v>89</v>
      </c>
      <c r="C93" s="363" t="s">
        <v>877</v>
      </c>
      <c r="D93" s="290" t="s">
        <v>868</v>
      </c>
      <c r="E93" s="1"/>
      <c r="F93" s="1"/>
      <c r="G93" s="14"/>
      <c r="H93" s="14"/>
      <c r="I93" s="14"/>
      <c r="J93" s="12"/>
      <c r="K93" s="14"/>
      <c r="L93" s="14"/>
      <c r="M93" s="14"/>
      <c r="N93" s="14"/>
      <c r="O93" s="14"/>
      <c r="P93" s="14"/>
      <c r="Q93" s="14"/>
      <c r="R93" s="14"/>
      <c r="S93" s="1"/>
      <c r="T93" s="1"/>
      <c r="U93" s="1"/>
      <c r="V93" s="290"/>
      <c r="W93" s="14"/>
      <c r="X93" s="1"/>
      <c r="Y93" s="1"/>
      <c r="Z93" s="1"/>
      <c r="AA93" s="14"/>
      <c r="AB93" s="1"/>
      <c r="AC93" s="1"/>
      <c r="AD93" s="448">
        <v>2</v>
      </c>
    </row>
    <row r="94" spans="1:30">
      <c r="A94" s="14"/>
      <c r="B94" s="42">
        <v>90</v>
      </c>
      <c r="C94" s="363"/>
      <c r="D94" s="290" t="s">
        <v>869</v>
      </c>
      <c r="E94" s="1"/>
      <c r="F94" s="1"/>
      <c r="G94" s="14"/>
      <c r="H94" s="14"/>
      <c r="I94" s="14"/>
      <c r="J94" s="12"/>
      <c r="K94" s="14"/>
      <c r="L94" s="14"/>
      <c r="M94" s="14"/>
      <c r="N94" s="14"/>
      <c r="O94" s="14"/>
      <c r="P94" s="14"/>
      <c r="Q94" s="14"/>
      <c r="R94" s="14"/>
      <c r="S94" s="1"/>
      <c r="T94" s="1"/>
      <c r="U94" s="1"/>
      <c r="V94" s="290"/>
      <c r="W94" s="14"/>
      <c r="X94" s="1"/>
      <c r="Y94" s="1"/>
      <c r="Z94" s="1"/>
      <c r="AA94" s="14"/>
      <c r="AB94" s="1"/>
      <c r="AC94" s="1"/>
      <c r="AD94" s="448">
        <v>2</v>
      </c>
    </row>
    <row r="95" spans="1:30">
      <c r="A95" s="14"/>
      <c r="B95" s="177">
        <v>91</v>
      </c>
      <c r="C95" s="363"/>
      <c r="D95" s="290" t="s">
        <v>870</v>
      </c>
      <c r="E95" s="1"/>
      <c r="F95" s="1"/>
      <c r="G95" s="14"/>
      <c r="H95" s="14"/>
      <c r="I95" s="14"/>
      <c r="J95" s="12"/>
      <c r="K95" s="14"/>
      <c r="L95" s="14"/>
      <c r="M95" s="14"/>
      <c r="N95" s="14"/>
      <c r="O95" s="14"/>
      <c r="P95" s="14"/>
      <c r="Q95" s="14"/>
      <c r="R95" s="14"/>
      <c r="S95" s="1"/>
      <c r="T95" s="1"/>
      <c r="U95" s="1"/>
      <c r="V95" s="290"/>
      <c r="W95" s="14"/>
      <c r="X95" s="1"/>
      <c r="Y95" s="1"/>
      <c r="Z95" s="1"/>
      <c r="AA95" s="14"/>
      <c r="AB95" s="1"/>
      <c r="AC95" s="1"/>
      <c r="AD95" s="448">
        <v>2</v>
      </c>
    </row>
    <row r="96" spans="1:30">
      <c r="A96" s="14"/>
      <c r="B96" s="42">
        <v>92</v>
      </c>
      <c r="C96" s="363"/>
      <c r="D96" s="290" t="s">
        <v>871</v>
      </c>
      <c r="E96" s="1"/>
      <c r="F96" s="1"/>
      <c r="G96" s="14"/>
      <c r="H96" s="14"/>
      <c r="I96" s="14"/>
      <c r="J96" s="12"/>
      <c r="K96" s="14"/>
      <c r="L96" s="14"/>
      <c r="M96" s="14"/>
      <c r="N96" s="14"/>
      <c r="O96" s="14"/>
      <c r="P96" s="14"/>
      <c r="Q96" s="14"/>
      <c r="R96" s="14"/>
      <c r="S96" s="1"/>
      <c r="T96" s="1"/>
      <c r="U96" s="1"/>
      <c r="V96" s="290"/>
      <c r="W96" s="14"/>
      <c r="X96" s="1"/>
      <c r="Y96" s="1"/>
      <c r="Z96" s="1"/>
      <c r="AA96" s="14"/>
      <c r="AB96" s="1"/>
      <c r="AC96" s="1"/>
      <c r="AD96" s="448">
        <v>2</v>
      </c>
    </row>
    <row r="97" spans="1:30">
      <c r="A97" s="14"/>
      <c r="B97" s="42">
        <v>93</v>
      </c>
      <c r="C97" s="363"/>
      <c r="D97" s="290" t="s">
        <v>872</v>
      </c>
      <c r="E97" s="1"/>
      <c r="F97" s="1"/>
      <c r="G97" s="14"/>
      <c r="H97" s="14"/>
      <c r="I97" s="14"/>
      <c r="J97" s="12"/>
      <c r="K97" s="14"/>
      <c r="L97" s="14"/>
      <c r="M97" s="14"/>
      <c r="N97" s="14"/>
      <c r="O97" s="14"/>
      <c r="P97" s="14"/>
      <c r="Q97" s="14"/>
      <c r="R97" s="14"/>
      <c r="S97" s="1"/>
      <c r="T97" s="1"/>
      <c r="U97" s="1"/>
      <c r="V97" s="290"/>
      <c r="W97" s="14"/>
      <c r="X97" s="1"/>
      <c r="Y97" s="1"/>
      <c r="Z97" s="1"/>
      <c r="AA97" s="14"/>
      <c r="AB97" s="1"/>
      <c r="AC97" s="1"/>
      <c r="AD97" s="448" t="s">
        <v>886</v>
      </c>
    </row>
    <row r="98" spans="1:30">
      <c r="A98" s="14"/>
      <c r="B98" s="177">
        <v>94</v>
      </c>
      <c r="C98" s="363"/>
      <c r="D98" s="290" t="s">
        <v>873</v>
      </c>
      <c r="E98" s="1"/>
      <c r="F98" s="1"/>
      <c r="G98" s="14"/>
      <c r="H98" s="14"/>
      <c r="I98" s="14"/>
      <c r="J98" s="12"/>
      <c r="K98" s="14"/>
      <c r="L98" s="14"/>
      <c r="M98" s="14"/>
      <c r="N98" s="14"/>
      <c r="O98" s="14"/>
      <c r="P98" s="14"/>
      <c r="Q98" s="14"/>
      <c r="R98" s="14"/>
      <c r="S98" s="1"/>
      <c r="T98" s="1"/>
      <c r="U98" s="1"/>
      <c r="V98" s="290"/>
      <c r="W98" s="14"/>
      <c r="X98" s="1"/>
      <c r="Y98" s="1"/>
      <c r="Z98" s="1"/>
      <c r="AA98" s="14"/>
      <c r="AB98" s="1"/>
      <c r="AC98" s="1"/>
      <c r="AD98" s="448">
        <v>2</v>
      </c>
    </row>
    <row r="99" spans="1:30">
      <c r="A99" s="14"/>
      <c r="B99" s="42">
        <v>95</v>
      </c>
      <c r="C99" s="363"/>
      <c r="D99" s="290" t="s">
        <v>874</v>
      </c>
      <c r="E99" s="1"/>
      <c r="F99" s="1"/>
      <c r="G99" s="14"/>
      <c r="H99" s="14"/>
      <c r="I99" s="14"/>
      <c r="J99" s="12"/>
      <c r="K99" s="14"/>
      <c r="L99" s="14"/>
      <c r="M99" s="14"/>
      <c r="N99" s="14"/>
      <c r="O99" s="14"/>
      <c r="P99" s="14"/>
      <c r="Q99" s="14"/>
      <c r="R99" s="14"/>
      <c r="S99" s="1"/>
      <c r="T99" s="1"/>
      <c r="U99" s="1"/>
      <c r="V99" s="290"/>
      <c r="W99" s="14"/>
      <c r="X99" s="1"/>
      <c r="Y99" s="1"/>
      <c r="Z99" s="1"/>
      <c r="AA99" s="14"/>
      <c r="AB99" s="1"/>
      <c r="AC99" s="1"/>
      <c r="AD99" s="448">
        <v>4</v>
      </c>
    </row>
    <row r="100" spans="1:30">
      <c r="A100" s="14"/>
      <c r="B100" s="42">
        <v>96</v>
      </c>
      <c r="C100" s="363"/>
      <c r="D100" s="290" t="s">
        <v>875</v>
      </c>
      <c r="E100" s="1"/>
      <c r="F100" s="1"/>
      <c r="G100" s="14"/>
      <c r="H100" s="14"/>
      <c r="I100" s="14"/>
      <c r="J100" s="12"/>
      <c r="K100" s="14"/>
      <c r="L100" s="14"/>
      <c r="M100" s="14"/>
      <c r="N100" s="14"/>
      <c r="O100" s="14"/>
      <c r="P100" s="14"/>
      <c r="Q100" s="14"/>
      <c r="R100" s="14"/>
      <c r="S100" s="1"/>
      <c r="T100" s="1"/>
      <c r="U100" s="1"/>
      <c r="V100" s="290"/>
      <c r="W100" s="14"/>
      <c r="X100" s="1"/>
      <c r="Y100" s="1"/>
      <c r="Z100" s="1"/>
      <c r="AA100" s="14"/>
      <c r="AB100" s="1"/>
      <c r="AC100" s="1"/>
      <c r="AD100" s="448">
        <v>1</v>
      </c>
    </row>
    <row r="101" spans="1:30">
      <c r="A101" s="14"/>
      <c r="B101" s="42">
        <v>97</v>
      </c>
      <c r="C101" s="364"/>
      <c r="D101" s="290" t="s">
        <v>876</v>
      </c>
      <c r="E101" s="1"/>
      <c r="F101" s="1"/>
      <c r="G101" s="14"/>
      <c r="H101" s="14"/>
      <c r="I101" s="14"/>
      <c r="J101" s="12"/>
      <c r="K101" s="14"/>
      <c r="L101" s="14"/>
      <c r="M101" s="14"/>
      <c r="N101" s="14"/>
      <c r="O101" s="14"/>
      <c r="P101" s="14"/>
      <c r="Q101" s="14"/>
      <c r="R101" s="14"/>
      <c r="S101" s="1"/>
      <c r="T101" s="1"/>
      <c r="U101" s="1"/>
      <c r="V101" s="290"/>
      <c r="W101" s="14"/>
      <c r="X101" s="1"/>
      <c r="Y101" s="1"/>
      <c r="Z101" s="1"/>
      <c r="AA101" s="14"/>
      <c r="AB101" s="1"/>
      <c r="AC101" s="1"/>
      <c r="AD101" s="448">
        <v>1</v>
      </c>
    </row>
    <row r="102" spans="1:30">
      <c r="V102" s="188"/>
    </row>
    <row r="103" spans="1:30">
      <c r="V103" s="188"/>
    </row>
    <row r="104" spans="1:30">
      <c r="V104" s="188"/>
    </row>
    <row r="105" spans="1:30">
      <c r="V105" s="188"/>
    </row>
    <row r="106" spans="1:30">
      <c r="V106" s="188"/>
    </row>
    <row r="107" spans="1:30">
      <c r="V107" s="188"/>
    </row>
    <row r="108" spans="1:30">
      <c r="V108" s="188"/>
    </row>
    <row r="109" spans="1:30">
      <c r="V109" s="188"/>
    </row>
    <row r="110" spans="1:30">
      <c r="V110" s="188"/>
    </row>
    <row r="111" spans="1:30">
      <c r="V111" s="188"/>
    </row>
    <row r="112" spans="1:30">
      <c r="V112" s="188"/>
    </row>
    <row r="113" spans="22:22">
      <c r="V113" s="188"/>
    </row>
    <row r="114" spans="22:22">
      <c r="V114" s="188"/>
    </row>
    <row r="115" spans="22:22">
      <c r="V115" s="188"/>
    </row>
    <row r="116" spans="22:22">
      <c r="V116" s="188"/>
    </row>
    <row r="117" spans="22:22">
      <c r="V117" s="188"/>
    </row>
    <row r="118" spans="22:22">
      <c r="V118" s="188"/>
    </row>
    <row r="119" spans="22:22">
      <c r="V119" s="188"/>
    </row>
    <row r="120" spans="22:22">
      <c r="V120" s="188"/>
    </row>
    <row r="121" spans="22:22">
      <c r="V121" s="188"/>
    </row>
    <row r="122" spans="22:22">
      <c r="V122" s="188"/>
    </row>
    <row r="123" spans="22:22">
      <c r="V123" s="188"/>
    </row>
    <row r="124" spans="22:22">
      <c r="V124" s="188"/>
    </row>
    <row r="125" spans="22:22">
      <c r="V125" s="188"/>
    </row>
    <row r="126" spans="22:22">
      <c r="V126" s="188"/>
    </row>
    <row r="127" spans="22:22">
      <c r="V127" s="188"/>
    </row>
    <row r="128" spans="22:22">
      <c r="V128" s="188"/>
    </row>
    <row r="129" spans="22:22">
      <c r="V129" s="188"/>
    </row>
    <row r="130" spans="22:22">
      <c r="V130" s="188"/>
    </row>
    <row r="131" spans="22:22">
      <c r="V131" s="188"/>
    </row>
    <row r="132" spans="22:22">
      <c r="V132" s="188"/>
    </row>
    <row r="133" spans="22:22">
      <c r="V133" s="188"/>
    </row>
    <row r="134" spans="22:22">
      <c r="V134" s="188"/>
    </row>
    <row r="135" spans="22:22">
      <c r="V135" s="188"/>
    </row>
  </sheetData>
  <mergeCells count="106">
    <mergeCell ref="AD3:AD4"/>
    <mergeCell ref="C93:C101"/>
    <mergeCell ref="AB45:AC45"/>
    <mergeCell ref="AB44:AC44"/>
    <mergeCell ref="AB42:AC42"/>
    <mergeCell ref="AB91:AC91"/>
    <mergeCell ref="AB92:AC92"/>
    <mergeCell ref="AB12:AC12"/>
    <mergeCell ref="AB11:AC11"/>
    <mergeCell ref="AB70:AC70"/>
    <mergeCell ref="AB90:AC90"/>
    <mergeCell ref="AB89:AC89"/>
    <mergeCell ref="AB88:AC88"/>
    <mergeCell ref="AB87:AC87"/>
    <mergeCell ref="AB83:AC83"/>
    <mergeCell ref="AB84:AC84"/>
    <mergeCell ref="AB85:AC85"/>
    <mergeCell ref="AB86:AC86"/>
    <mergeCell ref="AB78:AC78"/>
    <mergeCell ref="AB79:AC79"/>
    <mergeCell ref="AB80:AC80"/>
    <mergeCell ref="AB81:AC81"/>
    <mergeCell ref="AB82:AC82"/>
    <mergeCell ref="AB73:AC73"/>
    <mergeCell ref="AB53:AC53"/>
    <mergeCell ref="AB5:AC5"/>
    <mergeCell ref="AB6:AC6"/>
    <mergeCell ref="AB7:AC7"/>
    <mergeCell ref="AB8:AC8"/>
    <mergeCell ref="AB43:AC43"/>
    <mergeCell ref="AB15:AC15"/>
    <mergeCell ref="AB16:AC16"/>
    <mergeCell ref="AB39:AC39"/>
    <mergeCell ref="AB40:AC40"/>
    <mergeCell ref="AB18:AC18"/>
    <mergeCell ref="AB19:AC19"/>
    <mergeCell ref="AB20:AC20"/>
    <mergeCell ref="AB31:AC31"/>
    <mergeCell ref="AB32:AC32"/>
    <mergeCell ref="AB34:AC34"/>
    <mergeCell ref="AB35:AC35"/>
    <mergeCell ref="AB28:AC28"/>
    <mergeCell ref="AB29:AC29"/>
    <mergeCell ref="AB30:AC30"/>
    <mergeCell ref="AB23:AC23"/>
    <mergeCell ref="AB10:AC10"/>
    <mergeCell ref="AB9:AC9"/>
    <mergeCell ref="AB33:AC33"/>
    <mergeCell ref="A2:AC2"/>
    <mergeCell ref="AB58:AC58"/>
    <mergeCell ref="AB59:AC59"/>
    <mergeCell ref="AB49:AC49"/>
    <mergeCell ref="AB50:AC50"/>
    <mergeCell ref="A3:A4"/>
    <mergeCell ref="AB51:AC51"/>
    <mergeCell ref="AB52:AC52"/>
    <mergeCell ref="AB13:AC13"/>
    <mergeCell ref="AB17:AC17"/>
    <mergeCell ref="AB38:AC38"/>
    <mergeCell ref="AB14:AC14"/>
    <mergeCell ref="AB36:AC36"/>
    <mergeCell ref="AB46:AC46"/>
    <mergeCell ref="AB47:AC47"/>
    <mergeCell ref="AB48:AC48"/>
    <mergeCell ref="AB37:AC37"/>
    <mergeCell ref="AB41:AC41"/>
    <mergeCell ref="AB21:AC21"/>
    <mergeCell ref="AB22:AC22"/>
    <mergeCell ref="AB24:AC24"/>
    <mergeCell ref="AB25:AC25"/>
    <mergeCell ref="AB26:AC26"/>
    <mergeCell ref="AB27:AC27"/>
    <mergeCell ref="AB54:AC54"/>
    <mergeCell ref="AB55:AC55"/>
    <mergeCell ref="AB62:AC62"/>
    <mergeCell ref="AB63:AC63"/>
    <mergeCell ref="AB64:AC64"/>
    <mergeCell ref="AB65:AC65"/>
    <mergeCell ref="AB67:AC67"/>
    <mergeCell ref="AB68:AC68"/>
    <mergeCell ref="AB69:AC69"/>
    <mergeCell ref="AB76:AC76"/>
    <mergeCell ref="AB77:AC77"/>
    <mergeCell ref="AB60:AC60"/>
    <mergeCell ref="AB61:AC61"/>
    <mergeCell ref="AB74:AC74"/>
    <mergeCell ref="AB75:AC75"/>
    <mergeCell ref="AB56:AC56"/>
    <mergeCell ref="AB57:AC57"/>
    <mergeCell ref="AB71:AC71"/>
    <mergeCell ref="AB72:AC72"/>
    <mergeCell ref="Y3:Y4"/>
    <mergeCell ref="W3:W4"/>
    <mergeCell ref="X3:X4"/>
    <mergeCell ref="AB3:AC4"/>
    <mergeCell ref="B3:B4"/>
    <mergeCell ref="C3:C4"/>
    <mergeCell ref="D3:D4"/>
    <mergeCell ref="E3:E4"/>
    <mergeCell ref="S3:S4"/>
    <mergeCell ref="F3:H3"/>
    <mergeCell ref="U3:U4"/>
    <mergeCell ref="V3:V4"/>
    <mergeCell ref="T3:T4"/>
    <mergeCell ref="AA3:AA4"/>
    <mergeCell ref="J3:R3"/>
  </mergeCells>
  <phoneticPr fontId="23" type="noConversion"/>
  <pageMargins left="0.7" right="0.7" top="0.75" bottom="0.75" header="0.3" footer="0.3"/>
  <pageSetup paperSize="9" orientation="portrait" verticalDpi="300" r:id="rId1"/>
  <colBreaks count="1" manualBreakCount="1">
    <brk id="22" max="1048575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2"/>
  <sheetViews>
    <sheetView workbookViewId="0">
      <selection activeCell="U11" sqref="U11"/>
    </sheetView>
  </sheetViews>
  <sheetFormatPr defaultRowHeight="15"/>
  <cols>
    <col min="3" max="3" width="19.28515625" customWidth="1"/>
    <col min="4" max="4" width="54.42578125" customWidth="1"/>
    <col min="5" max="5" width="11.85546875" customWidth="1"/>
    <col min="6" max="6" width="14.28515625" hidden="1" customWidth="1"/>
    <col min="7" max="9" width="0" hidden="1" customWidth="1"/>
    <col min="10" max="10" width="13.7109375" customWidth="1"/>
    <col min="11" max="11" width="11.28515625" hidden="1" customWidth="1"/>
    <col min="12" max="13" width="0" hidden="1" customWidth="1"/>
    <col min="14" max="14" width="12.7109375" hidden="1" customWidth="1"/>
    <col min="15" max="17" width="0" hidden="1" customWidth="1"/>
  </cols>
  <sheetData>
    <row r="1" spans="1:17" ht="21">
      <c r="A1" s="368" t="s">
        <v>792</v>
      </c>
      <c r="B1" s="368"/>
      <c r="C1" s="368"/>
      <c r="D1" s="368"/>
      <c r="E1" s="368"/>
      <c r="F1" s="368"/>
      <c r="G1" s="368"/>
      <c r="H1" s="368"/>
      <c r="I1" s="368"/>
      <c r="J1" s="368"/>
      <c r="K1" s="368"/>
      <c r="L1" s="368"/>
      <c r="M1" s="368"/>
      <c r="N1" s="368"/>
      <c r="O1" s="368"/>
      <c r="P1" s="368"/>
      <c r="Q1" s="368"/>
    </row>
    <row r="2" spans="1:17" ht="30">
      <c r="A2" s="369" t="s">
        <v>583</v>
      </c>
      <c r="B2" s="370" t="s">
        <v>0</v>
      </c>
      <c r="C2" s="370" t="s">
        <v>21</v>
      </c>
      <c r="D2" s="370" t="s">
        <v>1</v>
      </c>
      <c r="E2" s="370" t="s">
        <v>2</v>
      </c>
      <c r="F2" s="203" t="s">
        <v>575</v>
      </c>
      <c r="G2" s="370" t="s">
        <v>444</v>
      </c>
      <c r="H2" s="370" t="s">
        <v>527</v>
      </c>
      <c r="I2" s="370" t="s">
        <v>528</v>
      </c>
      <c r="J2" s="371" t="s">
        <v>581</v>
      </c>
      <c r="K2" s="371" t="s">
        <v>450</v>
      </c>
      <c r="L2" s="372" t="s">
        <v>568</v>
      </c>
      <c r="M2" s="372" t="s">
        <v>531</v>
      </c>
      <c r="N2" s="373" t="s">
        <v>523</v>
      </c>
      <c r="O2" s="279" t="s">
        <v>529</v>
      </c>
      <c r="P2" s="373" t="s">
        <v>656</v>
      </c>
      <c r="Q2" s="367" t="s">
        <v>171</v>
      </c>
    </row>
    <row r="3" spans="1:17" ht="30">
      <c r="A3" s="369"/>
      <c r="B3" s="370"/>
      <c r="C3" s="370"/>
      <c r="D3" s="370"/>
      <c r="E3" s="370"/>
      <c r="F3" s="280" t="s">
        <v>793</v>
      </c>
      <c r="G3" s="370"/>
      <c r="H3" s="370"/>
      <c r="I3" s="370"/>
      <c r="J3" s="371"/>
      <c r="K3" s="371"/>
      <c r="L3" s="372"/>
      <c r="M3" s="372"/>
      <c r="N3" s="374"/>
      <c r="O3" s="279" t="s">
        <v>655</v>
      </c>
      <c r="P3" s="374"/>
      <c r="Q3" s="367"/>
    </row>
    <row r="4" spans="1:17">
      <c r="B4" s="181">
        <v>1</v>
      </c>
      <c r="C4" s="181" t="s">
        <v>794</v>
      </c>
      <c r="D4" s="1" t="s">
        <v>795</v>
      </c>
      <c r="E4" s="181">
        <v>32</v>
      </c>
      <c r="F4" s="1"/>
      <c r="J4" s="181">
        <v>32</v>
      </c>
    </row>
    <row r="5" spans="1:17">
      <c r="B5" s="181">
        <v>2</v>
      </c>
      <c r="C5" s="181" t="s">
        <v>796</v>
      </c>
      <c r="D5" s="1" t="s">
        <v>797</v>
      </c>
      <c r="E5" s="181">
        <v>220</v>
      </c>
      <c r="F5" s="1"/>
      <c r="J5" s="181">
        <v>220</v>
      </c>
    </row>
    <row r="6" spans="1:17">
      <c r="B6" s="181">
        <v>3</v>
      </c>
      <c r="C6" s="181" t="s">
        <v>798</v>
      </c>
      <c r="D6" s="1" t="s">
        <v>799</v>
      </c>
      <c r="E6" s="181">
        <v>192</v>
      </c>
      <c r="F6" s="1"/>
      <c r="J6" s="181">
        <v>192</v>
      </c>
    </row>
    <row r="7" spans="1:17">
      <c r="B7" s="181">
        <v>4</v>
      </c>
      <c r="C7" s="181" t="s">
        <v>800</v>
      </c>
      <c r="D7" s="1" t="s">
        <v>801</v>
      </c>
      <c r="E7" s="181">
        <v>160</v>
      </c>
      <c r="F7" s="1"/>
      <c r="J7" s="181">
        <v>160</v>
      </c>
    </row>
    <row r="8" spans="1:17">
      <c r="B8" s="181">
        <v>5</v>
      </c>
      <c r="C8" s="181" t="s">
        <v>802</v>
      </c>
      <c r="D8" s="1" t="s">
        <v>803</v>
      </c>
      <c r="E8" s="181">
        <v>32</v>
      </c>
      <c r="F8" s="1"/>
      <c r="J8" s="181">
        <v>32</v>
      </c>
    </row>
    <row r="9" spans="1:17">
      <c r="B9" s="181">
        <v>6</v>
      </c>
      <c r="C9" s="181" t="s">
        <v>804</v>
      </c>
      <c r="D9" s="1" t="s">
        <v>805</v>
      </c>
      <c r="E9" s="181">
        <v>32</v>
      </c>
      <c r="F9" s="1"/>
      <c r="J9" s="181">
        <v>32</v>
      </c>
    </row>
    <row r="10" spans="1:17">
      <c r="B10" s="181">
        <v>7</v>
      </c>
      <c r="C10" s="181" t="s">
        <v>806</v>
      </c>
      <c r="D10" s="1" t="s">
        <v>807</v>
      </c>
      <c r="E10" s="181">
        <v>32</v>
      </c>
      <c r="F10" s="1"/>
      <c r="J10" s="181">
        <v>32</v>
      </c>
    </row>
    <row r="11" spans="1:17">
      <c r="B11" s="181">
        <v>8</v>
      </c>
      <c r="C11" s="181" t="s">
        <v>808</v>
      </c>
      <c r="D11" s="1" t="s">
        <v>809</v>
      </c>
      <c r="E11" s="181">
        <v>32</v>
      </c>
      <c r="F11" s="1"/>
      <c r="J11" s="181">
        <v>32</v>
      </c>
    </row>
    <row r="12" spans="1:17">
      <c r="B12" s="181">
        <v>9</v>
      </c>
      <c r="C12" s="181" t="s">
        <v>810</v>
      </c>
      <c r="D12" s="1" t="s">
        <v>811</v>
      </c>
      <c r="E12" s="181">
        <v>128</v>
      </c>
      <c r="F12" s="1"/>
      <c r="J12" s="181">
        <v>128</v>
      </c>
    </row>
    <row r="13" spans="1:17">
      <c r="B13" s="181">
        <v>10</v>
      </c>
      <c r="C13" s="181" t="s">
        <v>812</v>
      </c>
      <c r="D13" s="1" t="s">
        <v>813</v>
      </c>
      <c r="E13" s="181">
        <v>6</v>
      </c>
      <c r="F13" s="1"/>
      <c r="J13" s="181">
        <v>6</v>
      </c>
    </row>
    <row r="14" spans="1:17">
      <c r="B14" s="181">
        <v>11</v>
      </c>
      <c r="C14" s="181" t="s">
        <v>814</v>
      </c>
      <c r="D14" s="1" t="s">
        <v>815</v>
      </c>
      <c r="E14" s="181">
        <v>3</v>
      </c>
      <c r="F14" s="1"/>
      <c r="J14" s="181">
        <v>3</v>
      </c>
    </row>
    <row r="15" spans="1:17">
      <c r="B15" s="181">
        <v>12</v>
      </c>
      <c r="C15" s="181" t="s">
        <v>812</v>
      </c>
      <c r="D15" s="1" t="s">
        <v>813</v>
      </c>
      <c r="E15" s="181">
        <v>26</v>
      </c>
      <c r="F15" s="1"/>
      <c r="J15" s="181">
        <v>26</v>
      </c>
    </row>
    <row r="16" spans="1:17">
      <c r="B16" s="181">
        <v>13</v>
      </c>
      <c r="C16" s="181" t="s">
        <v>814</v>
      </c>
      <c r="D16" s="1" t="s">
        <v>815</v>
      </c>
      <c r="E16" s="181">
        <v>13</v>
      </c>
      <c r="F16" s="1"/>
      <c r="J16" s="181">
        <v>13</v>
      </c>
    </row>
    <row r="17" spans="2:13">
      <c r="B17" s="181">
        <v>14</v>
      </c>
      <c r="C17" s="181" t="s">
        <v>816</v>
      </c>
      <c r="D17" s="1" t="s">
        <v>817</v>
      </c>
      <c r="E17" s="181" t="s">
        <v>818</v>
      </c>
      <c r="F17" s="1"/>
      <c r="J17" s="181" t="s">
        <v>818</v>
      </c>
    </row>
    <row r="18" spans="2:13">
      <c r="B18" s="181">
        <v>15</v>
      </c>
      <c r="C18" s="181" t="s">
        <v>819</v>
      </c>
      <c r="D18" s="1" t="s">
        <v>820</v>
      </c>
      <c r="E18" s="181">
        <v>80</v>
      </c>
      <c r="F18" s="1"/>
      <c r="J18" s="181">
        <v>80</v>
      </c>
    </row>
    <row r="19" spans="2:13">
      <c r="B19" s="181">
        <v>16</v>
      </c>
      <c r="C19" s="181" t="s">
        <v>821</v>
      </c>
      <c r="D19" s="1" t="s">
        <v>822</v>
      </c>
      <c r="E19" s="181">
        <v>40</v>
      </c>
      <c r="F19" s="1"/>
      <c r="J19" s="181">
        <v>40</v>
      </c>
    </row>
    <row r="20" spans="2:13">
      <c r="B20" s="181">
        <v>17</v>
      </c>
      <c r="C20" s="181" t="s">
        <v>823</v>
      </c>
      <c r="D20" s="1" t="s">
        <v>824</v>
      </c>
      <c r="E20" s="181">
        <v>336</v>
      </c>
      <c r="F20" s="1"/>
      <c r="J20" s="181">
        <v>336</v>
      </c>
      <c r="M20" s="282"/>
    </row>
    <row r="21" spans="2:13">
      <c r="B21" s="181">
        <v>18</v>
      </c>
      <c r="C21" s="181" t="s">
        <v>825</v>
      </c>
      <c r="D21" s="1" t="s">
        <v>826</v>
      </c>
      <c r="E21" s="181">
        <v>303</v>
      </c>
      <c r="F21" s="1"/>
      <c r="J21" s="181">
        <v>303</v>
      </c>
    </row>
    <row r="22" spans="2:13" ht="17.25" customHeight="1">
      <c r="B22" s="181">
        <v>19</v>
      </c>
      <c r="C22" s="181" t="s">
        <v>800</v>
      </c>
      <c r="D22" s="1" t="s">
        <v>801</v>
      </c>
      <c r="E22" s="181">
        <v>1</v>
      </c>
      <c r="F22" s="1"/>
      <c r="J22" s="181">
        <v>1</v>
      </c>
    </row>
  </sheetData>
  <mergeCells count="16">
    <mergeCell ref="Q2:Q3"/>
    <mergeCell ref="A1:Q1"/>
    <mergeCell ref="A2:A3"/>
    <mergeCell ref="B2:B3"/>
    <mergeCell ref="C2:C3"/>
    <mergeCell ref="D2:D3"/>
    <mergeCell ref="E2:E3"/>
    <mergeCell ref="G2:G3"/>
    <mergeCell ref="H2:H3"/>
    <mergeCell ref="I2:I3"/>
    <mergeCell ref="J2:J3"/>
    <mergeCell ref="K2:K3"/>
    <mergeCell ref="L2:L3"/>
    <mergeCell ref="M2:M3"/>
    <mergeCell ref="N2:N3"/>
    <mergeCell ref="P2:P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2"/>
  <sheetViews>
    <sheetView workbookViewId="0">
      <selection activeCell="S16" sqref="S16"/>
    </sheetView>
  </sheetViews>
  <sheetFormatPr defaultRowHeight="15"/>
  <cols>
    <col min="3" max="3" width="15.140625" customWidth="1"/>
    <col min="4" max="4" width="41.5703125" customWidth="1"/>
    <col min="6" max="6" width="13.42578125" customWidth="1"/>
    <col min="7" max="9" width="9.140625" customWidth="1"/>
    <col min="18" max="18" width="18.85546875" customWidth="1"/>
  </cols>
  <sheetData>
    <row r="1" spans="1:18" ht="36.75" customHeight="1">
      <c r="A1" s="375" t="s">
        <v>827</v>
      </c>
      <c r="B1" s="375"/>
      <c r="C1" s="375"/>
      <c r="D1" s="375"/>
      <c r="E1" s="375"/>
      <c r="F1" s="375"/>
      <c r="G1" s="375"/>
      <c r="H1" s="375"/>
      <c r="I1" s="375"/>
      <c r="J1" s="375"/>
      <c r="K1" s="375"/>
      <c r="L1" s="375"/>
      <c r="M1" s="375"/>
      <c r="N1" s="375"/>
      <c r="O1" s="375"/>
      <c r="P1" s="375"/>
      <c r="Q1" s="375"/>
    </row>
    <row r="2" spans="1:18" ht="30">
      <c r="A2" s="369" t="s">
        <v>583</v>
      </c>
      <c r="B2" s="370" t="s">
        <v>0</v>
      </c>
      <c r="C2" s="370" t="s">
        <v>21</v>
      </c>
      <c r="D2" s="370" t="s">
        <v>1</v>
      </c>
      <c r="E2" s="370" t="s">
        <v>2</v>
      </c>
      <c r="F2" s="280" t="s">
        <v>575</v>
      </c>
      <c r="G2" s="370" t="s">
        <v>444</v>
      </c>
      <c r="H2" s="370" t="s">
        <v>527</v>
      </c>
      <c r="I2" s="370" t="s">
        <v>528</v>
      </c>
      <c r="J2" s="371" t="s">
        <v>581</v>
      </c>
      <c r="K2" s="371" t="s">
        <v>450</v>
      </c>
      <c r="L2" s="372" t="s">
        <v>568</v>
      </c>
      <c r="M2" s="372" t="s">
        <v>531</v>
      </c>
      <c r="N2" s="367" t="s">
        <v>523</v>
      </c>
      <c r="O2" s="279" t="s">
        <v>529</v>
      </c>
      <c r="P2" s="367" t="s">
        <v>656</v>
      </c>
      <c r="Q2" s="367" t="s">
        <v>171</v>
      </c>
      <c r="R2" s="376" t="s">
        <v>866</v>
      </c>
    </row>
    <row r="3" spans="1:18" ht="30">
      <c r="A3" s="369"/>
      <c r="B3" s="370"/>
      <c r="C3" s="370"/>
      <c r="D3" s="370"/>
      <c r="E3" s="370"/>
      <c r="F3" s="280" t="s">
        <v>793</v>
      </c>
      <c r="G3" s="370"/>
      <c r="H3" s="370"/>
      <c r="I3" s="370"/>
      <c r="J3" s="371"/>
      <c r="K3" s="371"/>
      <c r="L3" s="372"/>
      <c r="M3" s="372"/>
      <c r="N3" s="367"/>
      <c r="O3" s="279" t="s">
        <v>655</v>
      </c>
      <c r="P3" s="367"/>
      <c r="Q3" s="367"/>
      <c r="R3" s="376"/>
    </row>
    <row r="4" spans="1:18">
      <c r="A4" s="1"/>
      <c r="B4" s="181">
        <v>1</v>
      </c>
      <c r="C4" s="181">
        <v>94221151</v>
      </c>
      <c r="D4" s="1" t="s">
        <v>828</v>
      </c>
      <c r="E4" s="181">
        <v>3</v>
      </c>
      <c r="F4" s="1"/>
      <c r="G4" s="1"/>
      <c r="H4" s="1"/>
      <c r="I4" s="1"/>
      <c r="J4" s="181">
        <v>3</v>
      </c>
      <c r="K4" s="1"/>
      <c r="L4" s="1"/>
      <c r="M4" s="1"/>
      <c r="N4" s="1"/>
      <c r="O4" s="1"/>
      <c r="P4" s="1"/>
      <c r="Q4" s="1"/>
      <c r="R4" s="448">
        <v>10</v>
      </c>
    </row>
    <row r="5" spans="1:18">
      <c r="A5" s="1"/>
      <c r="B5" s="181">
        <v>2</v>
      </c>
      <c r="C5" s="181">
        <v>94221149</v>
      </c>
      <c r="D5" s="1" t="s">
        <v>829</v>
      </c>
      <c r="E5" s="181">
        <v>2</v>
      </c>
      <c r="F5" s="1"/>
      <c r="G5" s="1"/>
      <c r="H5" s="1"/>
      <c r="I5" s="1"/>
      <c r="J5" s="181">
        <v>2</v>
      </c>
      <c r="K5" s="1"/>
      <c r="L5" s="1"/>
      <c r="M5" s="1"/>
      <c r="N5" s="1"/>
      <c r="O5" s="1"/>
      <c r="P5" s="1"/>
      <c r="Q5" s="1"/>
      <c r="R5" s="448">
        <v>5</v>
      </c>
    </row>
    <row r="6" spans="1:18">
      <c r="A6" s="1"/>
      <c r="B6" s="181">
        <v>3</v>
      </c>
      <c r="C6" s="181">
        <v>94221143</v>
      </c>
      <c r="D6" s="1" t="s">
        <v>830</v>
      </c>
      <c r="E6" s="181">
        <v>1</v>
      </c>
      <c r="F6" s="1"/>
      <c r="G6" s="1"/>
      <c r="H6" s="1"/>
      <c r="I6" s="1"/>
      <c r="J6" s="181">
        <v>1</v>
      </c>
      <c r="K6" s="1"/>
      <c r="L6" s="1"/>
      <c r="M6" s="1"/>
      <c r="N6" s="1"/>
      <c r="O6" s="1"/>
      <c r="P6" s="1"/>
      <c r="Q6" s="1"/>
      <c r="R6" s="448">
        <v>2</v>
      </c>
    </row>
    <row r="7" spans="1:18">
      <c r="A7" s="1"/>
      <c r="B7" s="181">
        <v>4</v>
      </c>
      <c r="C7" s="181">
        <v>94221140</v>
      </c>
      <c r="D7" s="1" t="s">
        <v>831</v>
      </c>
      <c r="E7" s="181">
        <v>1</v>
      </c>
      <c r="F7" s="1"/>
      <c r="G7" s="1"/>
      <c r="H7" s="1"/>
      <c r="I7" s="1"/>
      <c r="J7" s="181">
        <v>1</v>
      </c>
      <c r="K7" s="1"/>
      <c r="L7" s="1"/>
      <c r="M7" s="1"/>
      <c r="N7" s="1"/>
      <c r="O7" s="1"/>
      <c r="P7" s="1"/>
      <c r="Q7" s="1"/>
      <c r="R7" s="448">
        <v>2</v>
      </c>
    </row>
    <row r="8" spans="1:18">
      <c r="A8" s="1"/>
      <c r="B8" s="181">
        <v>5</v>
      </c>
      <c r="C8" s="181">
        <v>94221141</v>
      </c>
      <c r="D8" s="1" t="s">
        <v>832</v>
      </c>
      <c r="E8" s="181">
        <v>3</v>
      </c>
      <c r="F8" s="1"/>
      <c r="G8" s="1"/>
      <c r="H8" s="1"/>
      <c r="I8" s="1"/>
      <c r="J8" s="181">
        <v>3</v>
      </c>
      <c r="K8" s="1"/>
      <c r="L8" s="1"/>
      <c r="M8" s="1"/>
      <c r="N8" s="1"/>
      <c r="O8" s="1"/>
      <c r="P8" s="1"/>
      <c r="Q8" s="1"/>
      <c r="R8" s="448">
        <v>3</v>
      </c>
    </row>
    <row r="9" spans="1:18">
      <c r="A9" s="1"/>
      <c r="B9" s="181">
        <v>6</v>
      </c>
      <c r="C9" s="181">
        <v>94221142</v>
      </c>
      <c r="D9" s="1" t="s">
        <v>833</v>
      </c>
      <c r="E9" s="181">
        <v>1</v>
      </c>
      <c r="F9" s="1"/>
      <c r="G9" s="1"/>
      <c r="H9" s="1"/>
      <c r="I9" s="1"/>
      <c r="J9" s="181">
        <v>1</v>
      </c>
      <c r="K9" s="1"/>
      <c r="L9" s="1"/>
      <c r="M9" s="1"/>
      <c r="N9" s="1"/>
      <c r="O9" s="1"/>
      <c r="P9" s="1"/>
      <c r="Q9" s="1"/>
      <c r="R9" s="448">
        <v>2</v>
      </c>
    </row>
    <row r="10" spans="1:18">
      <c r="A10" s="1"/>
      <c r="B10" s="181">
        <v>7</v>
      </c>
      <c r="C10" s="181">
        <v>94221144</v>
      </c>
      <c r="D10" s="1" t="s">
        <v>834</v>
      </c>
      <c r="E10" s="181">
        <v>1</v>
      </c>
      <c r="F10" s="1"/>
      <c r="G10" s="1"/>
      <c r="H10" s="1"/>
      <c r="I10" s="1"/>
      <c r="J10" s="181">
        <v>1</v>
      </c>
      <c r="K10" s="1"/>
      <c r="L10" s="1"/>
      <c r="M10" s="1"/>
      <c r="N10" s="1"/>
      <c r="O10" s="1"/>
      <c r="P10" s="1"/>
      <c r="Q10" s="1"/>
      <c r="R10" s="448">
        <v>2</v>
      </c>
    </row>
    <row r="11" spans="1:18">
      <c r="A11" s="1"/>
      <c r="B11" s="181">
        <v>8</v>
      </c>
      <c r="C11" s="181">
        <v>94221145</v>
      </c>
      <c r="D11" s="1" t="s">
        <v>835</v>
      </c>
      <c r="E11" s="181">
        <v>1</v>
      </c>
      <c r="F11" s="1"/>
      <c r="G11" s="1"/>
      <c r="H11" s="1"/>
      <c r="I11" s="1"/>
      <c r="J11" s="181">
        <v>1</v>
      </c>
      <c r="K11" s="1"/>
      <c r="L11" s="1"/>
      <c r="M11" s="1"/>
      <c r="N11" s="1"/>
      <c r="O11" s="1"/>
      <c r="P11" s="1"/>
      <c r="Q11" s="1"/>
      <c r="R11" s="448">
        <v>2</v>
      </c>
    </row>
    <row r="12" spans="1:18">
      <c r="A12" s="1"/>
      <c r="B12" s="181">
        <v>9</v>
      </c>
      <c r="C12" s="181">
        <v>94221147</v>
      </c>
      <c r="D12" s="1" t="s">
        <v>836</v>
      </c>
      <c r="E12" s="181">
        <v>8</v>
      </c>
      <c r="F12" s="1"/>
      <c r="G12" s="1"/>
      <c r="H12" s="1"/>
      <c r="I12" s="1"/>
      <c r="J12" s="181">
        <v>8</v>
      </c>
      <c r="K12" s="1"/>
      <c r="L12" s="1"/>
      <c r="M12" s="1"/>
      <c r="N12" s="1"/>
      <c r="O12" s="1"/>
      <c r="P12" s="1"/>
      <c r="Q12" s="1"/>
      <c r="R12" s="448">
        <f t="shared" ref="R11:R18" si="0">J12</f>
        <v>8</v>
      </c>
    </row>
    <row r="13" spans="1:18">
      <c r="A13" s="1"/>
      <c r="B13" s="181">
        <v>10</v>
      </c>
      <c r="C13" s="181">
        <v>94221148</v>
      </c>
      <c r="D13" s="1" t="s">
        <v>837</v>
      </c>
      <c r="E13" s="181">
        <v>7</v>
      </c>
      <c r="F13" s="1"/>
      <c r="G13" s="1"/>
      <c r="H13" s="1"/>
      <c r="I13" s="1"/>
      <c r="J13" s="181">
        <v>7</v>
      </c>
      <c r="K13" s="1"/>
      <c r="L13" s="1"/>
      <c r="M13" s="1"/>
      <c r="N13" s="1"/>
      <c r="O13" s="1"/>
      <c r="P13" s="1"/>
      <c r="Q13" s="1"/>
      <c r="R13" s="448">
        <f t="shared" si="0"/>
        <v>7</v>
      </c>
    </row>
    <row r="14" spans="1:18">
      <c r="A14" s="1"/>
      <c r="B14" s="181">
        <v>11</v>
      </c>
      <c r="C14" s="181">
        <v>94221150</v>
      </c>
      <c r="D14" s="1" t="s">
        <v>838</v>
      </c>
      <c r="E14" s="181">
        <v>2</v>
      </c>
      <c r="F14" s="1"/>
      <c r="G14" s="1"/>
      <c r="H14" s="1"/>
      <c r="I14" s="1"/>
      <c r="J14" s="181">
        <v>2</v>
      </c>
      <c r="K14" s="1"/>
      <c r="L14" s="1"/>
      <c r="M14" s="1"/>
      <c r="N14" s="1"/>
      <c r="O14" s="1"/>
      <c r="P14" s="1"/>
      <c r="Q14" s="1"/>
      <c r="R14" s="448">
        <f t="shared" si="0"/>
        <v>2</v>
      </c>
    </row>
    <row r="15" spans="1:18">
      <c r="A15" s="1"/>
      <c r="B15" s="181">
        <v>12</v>
      </c>
      <c r="C15" s="181">
        <v>94221152</v>
      </c>
      <c r="D15" s="1" t="s">
        <v>839</v>
      </c>
      <c r="E15" s="181">
        <v>1</v>
      </c>
      <c r="F15" s="1"/>
      <c r="G15" s="1"/>
      <c r="H15" s="1"/>
      <c r="I15" s="1"/>
      <c r="J15" s="181">
        <v>1</v>
      </c>
      <c r="K15" s="1"/>
      <c r="L15" s="1"/>
      <c r="M15" s="1"/>
      <c r="N15" s="1"/>
      <c r="O15" s="1"/>
      <c r="P15" s="1"/>
      <c r="Q15" s="1"/>
      <c r="R15" s="448">
        <v>2</v>
      </c>
    </row>
    <row r="16" spans="1:18">
      <c r="A16" s="1"/>
      <c r="B16" s="181">
        <v>13</v>
      </c>
      <c r="C16" s="181">
        <v>94221153</v>
      </c>
      <c r="D16" s="1" t="s">
        <v>840</v>
      </c>
      <c r="E16" s="181">
        <v>1</v>
      </c>
      <c r="F16" s="1"/>
      <c r="G16" s="1"/>
      <c r="H16" s="1"/>
      <c r="I16" s="1"/>
      <c r="J16" s="181">
        <v>1</v>
      </c>
      <c r="K16" s="1"/>
      <c r="L16" s="1"/>
      <c r="M16" s="1"/>
      <c r="N16" s="1"/>
      <c r="O16" s="1"/>
      <c r="P16" s="1"/>
      <c r="Q16" s="1"/>
      <c r="R16" s="448">
        <v>2</v>
      </c>
    </row>
    <row r="17" spans="1:18">
      <c r="A17" s="1"/>
      <c r="B17" s="181">
        <v>14</v>
      </c>
      <c r="C17" s="181">
        <v>94221154</v>
      </c>
      <c r="D17" s="1" t="s">
        <v>841</v>
      </c>
      <c r="E17" s="181">
        <v>1</v>
      </c>
      <c r="F17" s="1"/>
      <c r="G17" s="1"/>
      <c r="H17" s="1"/>
      <c r="I17" s="1"/>
      <c r="J17" s="181">
        <v>1</v>
      </c>
      <c r="K17" s="1"/>
      <c r="L17" s="1"/>
      <c r="M17" s="1"/>
      <c r="N17" s="1"/>
      <c r="O17" s="1"/>
      <c r="P17" s="1"/>
      <c r="Q17" s="1"/>
      <c r="R17" s="448">
        <f t="shared" si="0"/>
        <v>1</v>
      </c>
    </row>
    <row r="18" spans="1:18">
      <c r="A18" s="41"/>
      <c r="B18" s="286">
        <v>15</v>
      </c>
      <c r="C18" s="286">
        <v>94221155</v>
      </c>
      <c r="D18" s="41" t="s">
        <v>842</v>
      </c>
      <c r="E18" s="286">
        <v>1</v>
      </c>
      <c r="F18" s="41"/>
      <c r="G18" s="41"/>
      <c r="H18" s="41"/>
      <c r="I18" s="41"/>
      <c r="J18" s="286">
        <v>1</v>
      </c>
      <c r="K18" s="41"/>
      <c r="L18" s="41"/>
      <c r="M18" s="41"/>
      <c r="N18" s="41"/>
      <c r="O18" s="41"/>
      <c r="P18" s="41"/>
      <c r="Q18" s="41"/>
      <c r="R18" s="448">
        <v>2</v>
      </c>
    </row>
    <row r="19" spans="1:18">
      <c r="A19" s="1"/>
      <c r="B19" s="181">
        <v>16</v>
      </c>
      <c r="C19" s="449" t="s">
        <v>877</v>
      </c>
      <c r="D19" s="290" t="s">
        <v>908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448">
        <v>2</v>
      </c>
    </row>
    <row r="20" spans="1:18">
      <c r="A20" s="1"/>
      <c r="B20" s="181">
        <v>17</v>
      </c>
      <c r="C20" s="449"/>
      <c r="D20" s="290" t="s">
        <v>909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448" t="s">
        <v>885</v>
      </c>
    </row>
    <row r="21" spans="1:18">
      <c r="A21" s="1"/>
      <c r="B21" s="181">
        <v>18</v>
      </c>
      <c r="C21" s="449"/>
      <c r="D21" s="290" t="s">
        <v>910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448">
        <v>4</v>
      </c>
    </row>
    <row r="22" spans="1:18">
      <c r="A22" s="1"/>
      <c r="B22" s="181">
        <v>19</v>
      </c>
      <c r="C22" s="449"/>
      <c r="D22" s="290" t="s">
        <v>934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448">
        <v>2</v>
      </c>
    </row>
  </sheetData>
  <mergeCells count="18">
    <mergeCell ref="R2:R3"/>
    <mergeCell ref="C19:C22"/>
    <mergeCell ref="M2:M3"/>
    <mergeCell ref="N2:N3"/>
    <mergeCell ref="P2:P3"/>
    <mergeCell ref="Q2:Q3"/>
    <mergeCell ref="A1:Q1"/>
    <mergeCell ref="G2:G3"/>
    <mergeCell ref="H2:H3"/>
    <mergeCell ref="I2:I3"/>
    <mergeCell ref="J2:J3"/>
    <mergeCell ref="K2:K3"/>
    <mergeCell ref="L2:L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4"/>
  <sheetViews>
    <sheetView topLeftCell="C1" workbookViewId="0">
      <selection activeCell="M16" sqref="M16"/>
    </sheetView>
  </sheetViews>
  <sheetFormatPr defaultRowHeight="15"/>
  <cols>
    <col min="3" max="3" width="15.140625" customWidth="1"/>
    <col min="4" max="4" width="46.7109375" customWidth="1"/>
    <col min="6" max="9" width="9.140625" customWidth="1"/>
    <col min="11" max="17" width="9.140625" customWidth="1"/>
    <col min="18" max="18" width="25.5703125" style="52" customWidth="1"/>
  </cols>
  <sheetData>
    <row r="1" spans="1:18" ht="34.5" customHeight="1">
      <c r="A1" s="378" t="s">
        <v>843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</row>
    <row r="2" spans="1:18" ht="30" customHeight="1">
      <c r="A2" s="369" t="s">
        <v>583</v>
      </c>
      <c r="B2" s="370" t="s">
        <v>0</v>
      </c>
      <c r="C2" s="370" t="s">
        <v>21</v>
      </c>
      <c r="D2" s="370" t="s">
        <v>1</v>
      </c>
      <c r="E2" s="370" t="s">
        <v>2</v>
      </c>
      <c r="F2" s="203" t="s">
        <v>575</v>
      </c>
      <c r="G2" s="370" t="s">
        <v>444</v>
      </c>
      <c r="H2" s="370" t="s">
        <v>527</v>
      </c>
      <c r="I2" s="370" t="s">
        <v>528</v>
      </c>
      <c r="J2" s="371" t="s">
        <v>581</v>
      </c>
      <c r="K2" s="371" t="s">
        <v>450</v>
      </c>
      <c r="L2" s="372" t="s">
        <v>568</v>
      </c>
      <c r="M2" s="372" t="s">
        <v>531</v>
      </c>
      <c r="N2" s="373" t="s">
        <v>523</v>
      </c>
      <c r="O2" s="279" t="s">
        <v>529</v>
      </c>
      <c r="P2" s="373" t="s">
        <v>656</v>
      </c>
      <c r="Q2" s="367" t="s">
        <v>171</v>
      </c>
      <c r="R2" s="376" t="s">
        <v>866</v>
      </c>
    </row>
    <row r="3" spans="1:18" ht="30">
      <c r="A3" s="369"/>
      <c r="B3" s="370"/>
      <c r="C3" s="370"/>
      <c r="D3" s="370"/>
      <c r="E3" s="370"/>
      <c r="F3" s="280" t="s">
        <v>793</v>
      </c>
      <c r="G3" s="370"/>
      <c r="H3" s="370"/>
      <c r="I3" s="370"/>
      <c r="J3" s="371"/>
      <c r="K3" s="371"/>
      <c r="L3" s="372"/>
      <c r="M3" s="372"/>
      <c r="N3" s="374"/>
      <c r="O3" s="279" t="s">
        <v>655</v>
      </c>
      <c r="P3" s="374"/>
      <c r="Q3" s="367"/>
      <c r="R3" s="376"/>
    </row>
    <row r="4" spans="1:18">
      <c r="B4" s="181">
        <v>1</v>
      </c>
      <c r="C4" s="181" t="s">
        <v>844</v>
      </c>
      <c r="D4" s="1" t="s">
        <v>845</v>
      </c>
      <c r="E4" s="181">
        <v>25</v>
      </c>
      <c r="F4" s="1"/>
      <c r="J4" s="181">
        <v>25</v>
      </c>
      <c r="R4" s="448">
        <f>J4</f>
        <v>25</v>
      </c>
    </row>
    <row r="5" spans="1:18">
      <c r="B5" s="181">
        <v>2</v>
      </c>
      <c r="C5" s="181" t="s">
        <v>846</v>
      </c>
      <c r="D5" s="1" t="s">
        <v>847</v>
      </c>
      <c r="E5" s="181">
        <v>5</v>
      </c>
      <c r="F5" s="1"/>
      <c r="J5" s="181">
        <v>5</v>
      </c>
      <c r="R5" s="448">
        <f t="shared" ref="R5:R10" si="0">J5</f>
        <v>5</v>
      </c>
    </row>
    <row r="6" spans="1:18">
      <c r="B6" s="181">
        <v>3</v>
      </c>
      <c r="C6" s="181" t="s">
        <v>848</v>
      </c>
      <c r="D6" s="1" t="s">
        <v>849</v>
      </c>
      <c r="E6" s="181">
        <v>50</v>
      </c>
      <c r="F6" s="1"/>
      <c r="J6" s="181">
        <v>50</v>
      </c>
      <c r="R6" s="448">
        <f t="shared" si="0"/>
        <v>50</v>
      </c>
    </row>
    <row r="7" spans="1:18">
      <c r="B7" s="181">
        <v>4</v>
      </c>
      <c r="C7" s="181" t="s">
        <v>850</v>
      </c>
      <c r="D7" s="1" t="s">
        <v>851</v>
      </c>
      <c r="E7" s="181">
        <v>25</v>
      </c>
      <c r="F7" s="1"/>
      <c r="J7" s="181">
        <v>25</v>
      </c>
      <c r="R7" s="448">
        <f t="shared" si="0"/>
        <v>25</v>
      </c>
    </row>
    <row r="8" spans="1:18">
      <c r="B8" s="181">
        <v>5</v>
      </c>
      <c r="C8" s="181" t="s">
        <v>852</v>
      </c>
      <c r="D8" s="1" t="s">
        <v>853</v>
      </c>
      <c r="E8" s="181">
        <v>4</v>
      </c>
      <c r="F8" s="1"/>
      <c r="J8" s="181">
        <v>4</v>
      </c>
      <c r="R8" s="448">
        <f t="shared" si="0"/>
        <v>4</v>
      </c>
    </row>
    <row r="9" spans="1:18">
      <c r="B9" s="181">
        <v>6</v>
      </c>
      <c r="C9" s="181" t="s">
        <v>854</v>
      </c>
      <c r="D9" s="1" t="s">
        <v>855</v>
      </c>
      <c r="E9" s="181">
        <v>60</v>
      </c>
      <c r="F9" s="1"/>
      <c r="J9" s="181">
        <v>60</v>
      </c>
      <c r="R9" s="448">
        <f t="shared" si="0"/>
        <v>60</v>
      </c>
    </row>
    <row r="10" spans="1:18">
      <c r="B10" s="181">
        <v>7</v>
      </c>
      <c r="C10" s="286" t="s">
        <v>856</v>
      </c>
      <c r="D10" s="41" t="s">
        <v>857</v>
      </c>
      <c r="E10" s="286">
        <v>60</v>
      </c>
      <c r="F10" s="41"/>
      <c r="J10" s="286">
        <v>60</v>
      </c>
      <c r="R10" s="450">
        <f t="shared" si="0"/>
        <v>60</v>
      </c>
    </row>
    <row r="11" spans="1:18">
      <c r="C11" s="379" t="s">
        <v>877</v>
      </c>
      <c r="D11" s="290" t="s">
        <v>902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448">
        <v>2</v>
      </c>
    </row>
    <row r="12" spans="1:18">
      <c r="C12" s="380"/>
      <c r="D12" s="290" t="s">
        <v>903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448">
        <v>2</v>
      </c>
    </row>
    <row r="13" spans="1:18">
      <c r="C13" s="380"/>
      <c r="D13" s="290" t="s">
        <v>904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448">
        <v>2</v>
      </c>
    </row>
    <row r="14" spans="1:18">
      <c r="C14" s="381"/>
      <c r="D14" s="290" t="s">
        <v>905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448">
        <v>2</v>
      </c>
    </row>
  </sheetData>
  <mergeCells count="18">
    <mergeCell ref="R2:R3"/>
    <mergeCell ref="C11:C14"/>
    <mergeCell ref="M2:M3"/>
    <mergeCell ref="N2:N3"/>
    <mergeCell ref="P2:P3"/>
    <mergeCell ref="Q2:Q3"/>
    <mergeCell ref="A1:Q1"/>
    <mergeCell ref="G2:G3"/>
    <mergeCell ref="H2:H3"/>
    <mergeCell ref="I2:I3"/>
    <mergeCell ref="J2:J3"/>
    <mergeCell ref="K2:K3"/>
    <mergeCell ref="L2:L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9"/>
  <sheetViews>
    <sheetView workbookViewId="0">
      <selection activeCell="R15" sqref="R15"/>
    </sheetView>
  </sheetViews>
  <sheetFormatPr defaultRowHeight="15"/>
  <cols>
    <col min="3" max="3" width="15.140625" customWidth="1"/>
    <col min="4" max="4" width="35.7109375" customWidth="1"/>
    <col min="6" max="6" width="12.5703125" customWidth="1"/>
    <col min="7" max="9" width="9.140625" customWidth="1"/>
    <col min="18" max="18" width="18.85546875" customWidth="1"/>
  </cols>
  <sheetData>
    <row r="1" spans="1:18" ht="36.75" customHeight="1">
      <c r="A1" s="378" t="s">
        <v>858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</row>
    <row r="2" spans="1:18" ht="30">
      <c r="A2" s="369" t="s">
        <v>583</v>
      </c>
      <c r="B2" s="370" t="s">
        <v>0</v>
      </c>
      <c r="C2" s="370" t="s">
        <v>21</v>
      </c>
      <c r="D2" s="370" t="s">
        <v>1</v>
      </c>
      <c r="E2" s="370" t="s">
        <v>2</v>
      </c>
      <c r="F2" s="203" t="s">
        <v>575</v>
      </c>
      <c r="G2" s="370" t="s">
        <v>444</v>
      </c>
      <c r="H2" s="370" t="s">
        <v>527</v>
      </c>
      <c r="I2" s="370" t="s">
        <v>528</v>
      </c>
      <c r="J2" s="371" t="s">
        <v>581</v>
      </c>
      <c r="K2" s="371" t="s">
        <v>450</v>
      </c>
      <c r="L2" s="372" t="s">
        <v>568</v>
      </c>
      <c r="M2" s="372" t="s">
        <v>531</v>
      </c>
      <c r="N2" s="373" t="s">
        <v>523</v>
      </c>
      <c r="O2" s="279" t="s">
        <v>529</v>
      </c>
      <c r="P2" s="373" t="s">
        <v>656</v>
      </c>
      <c r="Q2" s="367" t="s">
        <v>171</v>
      </c>
      <c r="R2" s="376" t="s">
        <v>866</v>
      </c>
    </row>
    <row r="3" spans="1:18" ht="30">
      <c r="A3" s="369"/>
      <c r="B3" s="370"/>
      <c r="C3" s="370"/>
      <c r="D3" s="370"/>
      <c r="E3" s="370"/>
      <c r="F3" s="280" t="s">
        <v>793</v>
      </c>
      <c r="G3" s="370"/>
      <c r="H3" s="370"/>
      <c r="I3" s="370"/>
      <c r="J3" s="371"/>
      <c r="K3" s="371"/>
      <c r="L3" s="372"/>
      <c r="M3" s="372"/>
      <c r="N3" s="374"/>
      <c r="O3" s="279" t="s">
        <v>655</v>
      </c>
      <c r="P3" s="374"/>
      <c r="Q3" s="367"/>
      <c r="R3" s="376"/>
    </row>
    <row r="4" spans="1:18">
      <c r="A4" s="1"/>
      <c r="B4" s="181">
        <v>1</v>
      </c>
      <c r="C4" s="181">
        <v>94221031</v>
      </c>
      <c r="D4" s="1" t="s">
        <v>859</v>
      </c>
      <c r="E4" s="181">
        <v>1</v>
      </c>
      <c r="F4" s="1"/>
      <c r="G4" s="1"/>
      <c r="H4" s="1"/>
      <c r="I4" s="1"/>
      <c r="J4" s="181">
        <v>1</v>
      </c>
      <c r="K4" s="1"/>
      <c r="L4" s="1"/>
      <c r="M4" s="1"/>
      <c r="N4" s="1"/>
      <c r="O4" s="1"/>
      <c r="P4" s="1"/>
      <c r="Q4" s="1"/>
      <c r="R4" s="448">
        <v>2</v>
      </c>
    </row>
    <row r="5" spans="1:18">
      <c r="A5" s="1"/>
      <c r="B5" s="181">
        <v>2</v>
      </c>
      <c r="C5" s="181">
        <v>94221033</v>
      </c>
      <c r="D5" s="1" t="s">
        <v>860</v>
      </c>
      <c r="E5" s="181">
        <v>1</v>
      </c>
      <c r="F5" s="1"/>
      <c r="G5" s="1"/>
      <c r="H5" s="1"/>
      <c r="I5" s="1"/>
      <c r="J5" s="181">
        <v>1</v>
      </c>
      <c r="K5" s="1"/>
      <c r="L5" s="1"/>
      <c r="M5" s="1"/>
      <c r="N5" s="1"/>
      <c r="O5" s="1"/>
      <c r="P5" s="1"/>
      <c r="Q5" s="1"/>
      <c r="R5" s="448">
        <v>2</v>
      </c>
    </row>
    <row r="6" spans="1:18">
      <c r="A6" s="1"/>
      <c r="B6" s="181">
        <v>3</v>
      </c>
      <c r="C6" s="181">
        <v>64221028</v>
      </c>
      <c r="D6" s="1" t="s">
        <v>861</v>
      </c>
      <c r="E6" s="181">
        <v>7</v>
      </c>
      <c r="F6" s="1"/>
      <c r="G6" s="1"/>
      <c r="H6" s="1"/>
      <c r="I6" s="1"/>
      <c r="J6" s="181">
        <v>7</v>
      </c>
      <c r="K6" s="1"/>
      <c r="L6" s="1"/>
      <c r="M6" s="1"/>
      <c r="N6" s="1"/>
      <c r="O6" s="1"/>
      <c r="P6" s="1"/>
      <c r="Q6" s="1"/>
      <c r="R6" s="448">
        <v>24</v>
      </c>
    </row>
    <row r="7" spans="1:18">
      <c r="A7" s="41"/>
      <c r="B7" s="286">
        <v>4</v>
      </c>
      <c r="C7" s="286">
        <v>94221029</v>
      </c>
      <c r="D7" s="41" t="s">
        <v>862</v>
      </c>
      <c r="E7" s="286">
        <v>2</v>
      </c>
      <c r="F7" s="41"/>
      <c r="G7" s="41"/>
      <c r="H7" s="41"/>
      <c r="I7" s="41"/>
      <c r="J7" s="286">
        <v>2</v>
      </c>
      <c r="K7" s="41"/>
      <c r="L7" s="41"/>
      <c r="M7" s="41"/>
      <c r="N7" s="41"/>
      <c r="O7" s="41"/>
      <c r="P7" s="41"/>
      <c r="Q7" s="41"/>
      <c r="R7" s="448">
        <v>24</v>
      </c>
    </row>
    <row r="8" spans="1:18">
      <c r="A8" s="1"/>
      <c r="B8" s="308">
        <v>5</v>
      </c>
      <c r="C8" s="379" t="s">
        <v>877</v>
      </c>
      <c r="D8" s="290" t="s">
        <v>906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448">
        <v>2</v>
      </c>
    </row>
    <row r="9" spans="1:18">
      <c r="A9" s="1"/>
      <c r="B9" s="308">
        <v>6</v>
      </c>
      <c r="C9" s="381"/>
      <c r="D9" s="290" t="s">
        <v>907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448">
        <v>1</v>
      </c>
    </row>
  </sheetData>
  <mergeCells count="18">
    <mergeCell ref="R2:R3"/>
    <mergeCell ref="C8:C9"/>
    <mergeCell ref="M2:M3"/>
    <mergeCell ref="N2:N3"/>
    <mergeCell ref="P2:P3"/>
    <mergeCell ref="Q2:Q3"/>
    <mergeCell ref="A1:Q1"/>
    <mergeCell ref="G2:G3"/>
    <mergeCell ref="H2:H3"/>
    <mergeCell ref="I2:I3"/>
    <mergeCell ref="J2:J3"/>
    <mergeCell ref="K2:K3"/>
    <mergeCell ref="L2:L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7"/>
  <sheetViews>
    <sheetView workbookViewId="0">
      <selection activeCell="V16" sqref="V16"/>
    </sheetView>
  </sheetViews>
  <sheetFormatPr defaultRowHeight="15"/>
  <cols>
    <col min="3" max="3" width="17.28515625" customWidth="1"/>
    <col min="4" max="4" width="25.140625" customWidth="1"/>
    <col min="7" max="17" width="0" hidden="1" customWidth="1"/>
    <col min="18" max="18" width="20.7109375" customWidth="1"/>
  </cols>
  <sheetData>
    <row r="1" spans="1:18" ht="45" customHeight="1">
      <c r="A1" s="382" t="s">
        <v>863</v>
      </c>
      <c r="B1" s="382"/>
      <c r="C1" s="382"/>
      <c r="D1" s="382"/>
      <c r="E1" s="382"/>
      <c r="F1" s="382"/>
      <c r="G1" s="382"/>
      <c r="H1" s="382"/>
      <c r="I1" s="382"/>
      <c r="J1" s="382"/>
      <c r="K1" s="382"/>
      <c r="L1" s="382"/>
      <c r="M1" s="382"/>
      <c r="N1" s="382"/>
      <c r="O1" s="382"/>
      <c r="P1" s="382"/>
      <c r="Q1" s="382"/>
    </row>
    <row r="2" spans="1:18" ht="30">
      <c r="A2" s="369" t="s">
        <v>583</v>
      </c>
      <c r="B2" s="370" t="s">
        <v>0</v>
      </c>
      <c r="C2" s="370" t="s">
        <v>21</v>
      </c>
      <c r="D2" s="370" t="s">
        <v>1</v>
      </c>
      <c r="E2" s="370" t="s">
        <v>2</v>
      </c>
      <c r="F2" s="203" t="s">
        <v>575</v>
      </c>
      <c r="G2" s="370" t="s">
        <v>444</v>
      </c>
      <c r="H2" s="370" t="s">
        <v>527</v>
      </c>
      <c r="I2" s="370" t="s">
        <v>528</v>
      </c>
      <c r="J2" s="371" t="s">
        <v>581</v>
      </c>
      <c r="K2" s="371" t="s">
        <v>450</v>
      </c>
      <c r="L2" s="372" t="s">
        <v>568</v>
      </c>
      <c r="M2" s="372" t="s">
        <v>531</v>
      </c>
      <c r="N2" s="373" t="s">
        <v>523</v>
      </c>
      <c r="O2" s="279" t="s">
        <v>529</v>
      </c>
      <c r="P2" s="373" t="s">
        <v>656</v>
      </c>
      <c r="Q2" s="367" t="s">
        <v>171</v>
      </c>
      <c r="R2" s="362" t="s">
        <v>866</v>
      </c>
    </row>
    <row r="3" spans="1:18" ht="30">
      <c r="A3" s="451"/>
      <c r="B3" s="452"/>
      <c r="C3" s="452"/>
      <c r="D3" s="452"/>
      <c r="E3" s="452"/>
      <c r="F3" s="203" t="s">
        <v>793</v>
      </c>
      <c r="G3" s="452"/>
      <c r="H3" s="452"/>
      <c r="I3" s="452"/>
      <c r="J3" s="453"/>
      <c r="K3" s="453"/>
      <c r="L3" s="454"/>
      <c r="M3" s="454"/>
      <c r="N3" s="455"/>
      <c r="O3" s="312" t="s">
        <v>655</v>
      </c>
      <c r="P3" s="455"/>
      <c r="Q3" s="373"/>
      <c r="R3" s="362"/>
    </row>
    <row r="4" spans="1:18">
      <c r="A4" s="14"/>
      <c r="B4" s="14">
        <v>1</v>
      </c>
      <c r="C4" s="14"/>
      <c r="D4" s="456" t="s">
        <v>864</v>
      </c>
      <c r="E4" s="14">
        <v>5</v>
      </c>
      <c r="F4" s="14">
        <v>5</v>
      </c>
      <c r="G4" s="14"/>
      <c r="H4" s="14"/>
      <c r="I4" s="14"/>
      <c r="J4" s="14">
        <v>5</v>
      </c>
      <c r="K4" s="14"/>
      <c r="L4" s="14"/>
      <c r="M4" s="14"/>
      <c r="N4" s="14"/>
      <c r="O4" s="14"/>
      <c r="P4" s="14"/>
      <c r="Q4" s="14"/>
      <c r="R4" s="181">
        <v>5</v>
      </c>
    </row>
    <row r="5" spans="1:18">
      <c r="A5" s="14"/>
      <c r="B5" s="14">
        <v>2</v>
      </c>
      <c r="C5" s="14"/>
      <c r="D5" s="456" t="s">
        <v>865</v>
      </c>
      <c r="E5" s="14">
        <v>100</v>
      </c>
      <c r="F5" s="14">
        <v>100</v>
      </c>
      <c r="G5" s="14"/>
      <c r="H5" s="14"/>
      <c r="I5" s="14"/>
      <c r="J5" s="14">
        <v>100</v>
      </c>
      <c r="K5" s="14"/>
      <c r="L5" s="14"/>
      <c r="M5" s="14"/>
      <c r="N5" s="14"/>
      <c r="O5" s="14"/>
      <c r="P5" s="14"/>
      <c r="Q5" s="14"/>
      <c r="R5" s="181">
        <v>100</v>
      </c>
    </row>
    <row r="6" spans="1:18" ht="30">
      <c r="A6" s="1"/>
      <c r="B6" s="14">
        <v>3</v>
      </c>
      <c r="C6" s="449" t="s">
        <v>877</v>
      </c>
      <c r="D6" s="457" t="s">
        <v>935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06" t="s">
        <v>936</v>
      </c>
    </row>
    <row r="7" spans="1:18">
      <c r="A7" s="1"/>
      <c r="B7" s="462">
        <v>4</v>
      </c>
      <c r="C7" s="449"/>
      <c r="D7" s="1" t="s">
        <v>938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448" t="s">
        <v>939</v>
      </c>
    </row>
  </sheetData>
  <mergeCells count="18">
    <mergeCell ref="R2:R3"/>
    <mergeCell ref="C6:C7"/>
    <mergeCell ref="N2:N3"/>
    <mergeCell ref="P2:P3"/>
    <mergeCell ref="Q2:Q3"/>
    <mergeCell ref="A1:Q1"/>
    <mergeCell ref="H2:H3"/>
    <mergeCell ref="I2:I3"/>
    <mergeCell ref="J2:J3"/>
    <mergeCell ref="K2:K3"/>
    <mergeCell ref="L2:L3"/>
    <mergeCell ref="M2:M3"/>
    <mergeCell ref="A2:A3"/>
    <mergeCell ref="B2:B3"/>
    <mergeCell ref="C2:C3"/>
    <mergeCell ref="D2:D3"/>
    <mergeCell ref="E2:E3"/>
    <mergeCell ref="G2:G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228"/>
  <sheetViews>
    <sheetView zoomScale="112" zoomScaleNormal="112" workbookViewId="0">
      <pane ySplit="3" topLeftCell="A61" activePane="bottomLeft" state="frozen"/>
      <selection pane="bottomLeft" activeCell="Z82" sqref="Z82"/>
    </sheetView>
  </sheetViews>
  <sheetFormatPr defaultRowHeight="15"/>
  <cols>
    <col min="1" max="1" width="8.5703125" customWidth="1"/>
    <col min="2" max="2" width="5.7109375" style="2" customWidth="1"/>
    <col min="3" max="3" width="18.85546875" style="52" customWidth="1"/>
    <col min="4" max="4" width="40.5703125" customWidth="1"/>
    <col min="5" max="5" width="6.42578125" customWidth="1"/>
    <col min="6" max="6" width="8.7109375" hidden="1" customWidth="1"/>
    <col min="7" max="7" width="10" hidden="1" customWidth="1"/>
    <col min="8" max="8" width="9.85546875" hidden="1" customWidth="1"/>
    <col min="9" max="9" width="9.28515625" hidden="1" customWidth="1"/>
    <col min="10" max="10" width="1.42578125" hidden="1" customWidth="1"/>
    <col min="11" max="12" width="9.28515625" hidden="1" customWidth="1"/>
    <col min="13" max="13" width="9.28515625" style="1" hidden="1" customWidth="1"/>
    <col min="14" max="14" width="9.140625" hidden="1" customWidth="1"/>
    <col min="15" max="15" width="15.140625" hidden="1" customWidth="1"/>
    <col min="16" max="16" width="10.5703125" hidden="1" customWidth="1"/>
    <col min="17" max="17" width="18" style="265" customWidth="1"/>
    <col min="18" max="18" width="9.28515625" hidden="1" customWidth="1"/>
    <col min="19" max="19" width="14.28515625" hidden="1" customWidth="1"/>
    <col min="20" max="20" width="11.140625" hidden="1" customWidth="1"/>
    <col min="21" max="21" width="11.85546875" hidden="1" customWidth="1"/>
    <col min="22" max="22" width="7.140625" hidden="1" customWidth="1"/>
    <col min="23" max="23" width="22.5703125" hidden="1" customWidth="1"/>
    <col min="24" max="24" width="17.42578125" style="2" customWidth="1"/>
    <col min="26" max="26" width="15.140625" bestFit="1" customWidth="1"/>
    <col min="27" max="27" width="24.28515625" bestFit="1" customWidth="1"/>
    <col min="28" max="28" width="4" bestFit="1" customWidth="1"/>
  </cols>
  <sheetData>
    <row r="1" spans="1:30" ht="27">
      <c r="A1" s="315" t="s">
        <v>786</v>
      </c>
      <c r="B1" s="315"/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315"/>
      <c r="N1" s="315"/>
      <c r="O1" s="315"/>
      <c r="P1" s="315"/>
      <c r="Q1" s="315"/>
      <c r="R1" s="315"/>
      <c r="S1" s="315"/>
      <c r="T1" s="315"/>
      <c r="U1" s="315"/>
      <c r="V1" s="315"/>
      <c r="W1" s="315"/>
    </row>
    <row r="2" spans="1:30" s="11" customFormat="1" ht="20.25" customHeight="1">
      <c r="A2" s="385" t="s">
        <v>578</v>
      </c>
      <c r="B2" s="392" t="s">
        <v>257</v>
      </c>
      <c r="C2" s="394" t="s">
        <v>21</v>
      </c>
      <c r="D2" s="396" t="s">
        <v>1</v>
      </c>
      <c r="E2" s="398" t="s">
        <v>2</v>
      </c>
      <c r="F2" s="386" t="s">
        <v>6</v>
      </c>
      <c r="G2" s="387"/>
      <c r="H2" s="387"/>
      <c r="I2" s="388"/>
      <c r="J2" s="400"/>
      <c r="K2" s="403" t="s">
        <v>612</v>
      </c>
      <c r="L2" s="404"/>
      <c r="M2" s="405"/>
      <c r="N2" s="383" t="s">
        <v>444</v>
      </c>
      <c r="O2" s="383" t="s">
        <v>527</v>
      </c>
      <c r="P2" s="383" t="s">
        <v>528</v>
      </c>
      <c r="Q2" s="390" t="s">
        <v>791</v>
      </c>
      <c r="R2" s="383" t="s">
        <v>450</v>
      </c>
      <c r="S2" s="383" t="s">
        <v>530</v>
      </c>
      <c r="T2" s="383" t="s">
        <v>531</v>
      </c>
      <c r="U2" s="206" t="s">
        <v>529</v>
      </c>
      <c r="V2" s="383" t="s">
        <v>656</v>
      </c>
      <c r="W2" s="389" t="s">
        <v>639</v>
      </c>
      <c r="X2" s="376" t="s">
        <v>866</v>
      </c>
    </row>
    <row r="3" spans="1:30" s="11" customFormat="1" ht="23.25" customHeight="1">
      <c r="A3" s="385"/>
      <c r="B3" s="393"/>
      <c r="C3" s="395"/>
      <c r="D3" s="397"/>
      <c r="E3" s="399"/>
      <c r="F3" s="205" t="s">
        <v>525</v>
      </c>
      <c r="G3" s="205" t="s">
        <v>526</v>
      </c>
      <c r="H3" s="205" t="s">
        <v>438</v>
      </c>
      <c r="I3" s="273" t="s">
        <v>524</v>
      </c>
      <c r="J3" s="401"/>
      <c r="K3" s="220" t="s">
        <v>680</v>
      </c>
      <c r="L3" s="220" t="s">
        <v>695</v>
      </c>
      <c r="M3" s="278" t="s">
        <v>785</v>
      </c>
      <c r="N3" s="384"/>
      <c r="O3" s="384"/>
      <c r="P3" s="384"/>
      <c r="Q3" s="391"/>
      <c r="R3" s="384"/>
      <c r="S3" s="384"/>
      <c r="T3" s="384"/>
      <c r="U3" s="206" t="s">
        <v>655</v>
      </c>
      <c r="V3" s="384"/>
      <c r="W3" s="389"/>
      <c r="X3" s="376"/>
    </row>
    <row r="4" spans="1:30" ht="16.5" customHeight="1">
      <c r="A4" s="14">
        <v>1</v>
      </c>
      <c r="B4" s="42">
        <v>1</v>
      </c>
      <c r="C4" s="79">
        <v>478035</v>
      </c>
      <c r="D4" s="71" t="s">
        <v>156</v>
      </c>
      <c r="E4" s="42" t="s">
        <v>3</v>
      </c>
      <c r="F4" s="42">
        <v>24</v>
      </c>
      <c r="G4" s="42">
        <v>0</v>
      </c>
      <c r="H4" s="42">
        <v>0</v>
      </c>
      <c r="I4" s="255">
        <v>0</v>
      </c>
      <c r="J4" s="401"/>
      <c r="K4" s="42">
        <v>0</v>
      </c>
      <c r="L4" s="42">
        <v>0</v>
      </c>
      <c r="M4" s="255">
        <v>0</v>
      </c>
      <c r="N4" s="42">
        <v>0</v>
      </c>
      <c r="O4" s="42"/>
      <c r="P4" s="42"/>
      <c r="Q4" s="264">
        <f t="shared" ref="Q4:Q26" si="0">F4+G4+H4+I4-N4</f>
        <v>24</v>
      </c>
      <c r="R4" s="88">
        <v>0</v>
      </c>
      <c r="S4" s="37"/>
      <c r="T4" s="37"/>
      <c r="U4" s="37"/>
      <c r="V4" s="37"/>
      <c r="W4" s="1"/>
      <c r="X4" s="264">
        <f>Q4</f>
        <v>24</v>
      </c>
      <c r="Y4" s="2"/>
      <c r="Z4" s="2"/>
      <c r="AA4" s="2"/>
      <c r="AB4" s="2"/>
      <c r="AC4" s="2"/>
      <c r="AD4" s="2"/>
    </row>
    <row r="5" spans="1:30" ht="16.5" customHeight="1">
      <c r="A5" s="14">
        <v>2</v>
      </c>
      <c r="B5" s="42">
        <v>2</v>
      </c>
      <c r="C5" s="79">
        <v>477239</v>
      </c>
      <c r="D5" s="72" t="s">
        <v>157</v>
      </c>
      <c r="E5" s="42" t="s">
        <v>3</v>
      </c>
      <c r="F5" s="42">
        <v>20</v>
      </c>
      <c r="G5" s="42">
        <v>0</v>
      </c>
      <c r="H5" s="42">
        <v>0</v>
      </c>
      <c r="I5" s="255">
        <v>0</v>
      </c>
      <c r="J5" s="401"/>
      <c r="K5" s="42">
        <v>0</v>
      </c>
      <c r="L5" s="42">
        <v>0</v>
      </c>
      <c r="M5" s="255">
        <v>0</v>
      </c>
      <c r="N5" s="42">
        <v>0</v>
      </c>
      <c r="O5" s="42"/>
      <c r="P5" s="42"/>
      <c r="Q5" s="264">
        <f t="shared" si="0"/>
        <v>20</v>
      </c>
      <c r="R5" s="88">
        <v>0</v>
      </c>
      <c r="S5" s="37"/>
      <c r="T5" s="37"/>
      <c r="U5" s="37"/>
      <c r="V5" s="37"/>
      <c r="W5" s="1"/>
      <c r="X5" s="264">
        <f t="shared" ref="X5:X68" si="1">Q5</f>
        <v>20</v>
      </c>
    </row>
    <row r="6" spans="1:30" ht="16.5" customHeight="1">
      <c r="A6" s="14">
        <v>3</v>
      </c>
      <c r="B6" s="42">
        <v>3</v>
      </c>
      <c r="C6" s="79" t="s">
        <v>436</v>
      </c>
      <c r="D6" s="72" t="s">
        <v>402</v>
      </c>
      <c r="E6" s="42" t="s">
        <v>3</v>
      </c>
      <c r="F6" s="42">
        <v>2</v>
      </c>
      <c r="G6" s="42">
        <v>0</v>
      </c>
      <c r="H6" s="42">
        <v>0</v>
      </c>
      <c r="I6" s="255">
        <v>0</v>
      </c>
      <c r="J6" s="401"/>
      <c r="K6" s="42">
        <v>0</v>
      </c>
      <c r="L6" s="42">
        <v>0</v>
      </c>
      <c r="M6" s="255">
        <v>0</v>
      </c>
      <c r="N6" s="42">
        <v>0</v>
      </c>
      <c r="O6" s="42"/>
      <c r="P6" s="42"/>
      <c r="Q6" s="264">
        <f t="shared" si="0"/>
        <v>2</v>
      </c>
      <c r="R6" s="88">
        <v>0</v>
      </c>
      <c r="S6" s="37"/>
      <c r="T6" s="37"/>
      <c r="U6" s="37"/>
      <c r="V6" s="37"/>
      <c r="W6" s="1"/>
      <c r="X6" s="264">
        <f t="shared" si="1"/>
        <v>2</v>
      </c>
      <c r="Z6" s="89"/>
      <c r="AA6" s="90"/>
      <c r="AB6" s="91"/>
    </row>
    <row r="7" spans="1:30" ht="16.5" customHeight="1">
      <c r="A7" s="14">
        <v>4</v>
      </c>
      <c r="B7" s="42">
        <v>4</v>
      </c>
      <c r="C7" s="79" t="s">
        <v>148</v>
      </c>
      <c r="D7" s="72" t="s">
        <v>158</v>
      </c>
      <c r="E7" s="42" t="s">
        <v>3</v>
      </c>
      <c r="F7" s="42">
        <v>2</v>
      </c>
      <c r="G7" s="42">
        <v>0</v>
      </c>
      <c r="H7" s="42">
        <v>0</v>
      </c>
      <c r="I7" s="255">
        <v>0</v>
      </c>
      <c r="J7" s="401"/>
      <c r="K7" s="42">
        <v>0</v>
      </c>
      <c r="L7" s="42">
        <v>0</v>
      </c>
      <c r="M7" s="255">
        <v>0</v>
      </c>
      <c r="N7" s="42">
        <v>0</v>
      </c>
      <c r="O7" s="42"/>
      <c r="P7" s="42"/>
      <c r="Q7" s="264">
        <f t="shared" si="0"/>
        <v>2</v>
      </c>
      <c r="R7" s="88">
        <v>0</v>
      </c>
      <c r="S7" s="37"/>
      <c r="T7" s="37"/>
      <c r="U7" s="37"/>
      <c r="V7" s="37"/>
      <c r="W7" s="1"/>
      <c r="X7" s="264">
        <f t="shared" si="1"/>
        <v>2</v>
      </c>
      <c r="Z7" s="89"/>
      <c r="AA7" s="90"/>
      <c r="AB7" s="91"/>
    </row>
    <row r="8" spans="1:30" ht="16.5" customHeight="1">
      <c r="A8" s="14">
        <v>5</v>
      </c>
      <c r="B8" s="42">
        <v>5</v>
      </c>
      <c r="C8" s="79" t="s">
        <v>10</v>
      </c>
      <c r="D8" s="72" t="s">
        <v>158</v>
      </c>
      <c r="E8" s="42" t="s">
        <v>3</v>
      </c>
      <c r="F8" s="42">
        <v>2</v>
      </c>
      <c r="G8" s="42">
        <v>0</v>
      </c>
      <c r="H8" s="42">
        <v>0</v>
      </c>
      <c r="I8" s="255">
        <v>0</v>
      </c>
      <c r="J8" s="401"/>
      <c r="K8" s="42">
        <v>0</v>
      </c>
      <c r="L8" s="42">
        <v>0</v>
      </c>
      <c r="M8" s="255">
        <v>0</v>
      </c>
      <c r="N8" s="42">
        <v>0</v>
      </c>
      <c r="O8" s="42"/>
      <c r="P8" s="42"/>
      <c r="Q8" s="264">
        <f t="shared" si="0"/>
        <v>2</v>
      </c>
      <c r="R8" s="88">
        <v>0</v>
      </c>
      <c r="S8" s="37"/>
      <c r="T8" s="37"/>
      <c r="U8" s="37"/>
      <c r="V8" s="37"/>
      <c r="W8" s="1"/>
      <c r="X8" s="264">
        <f t="shared" si="1"/>
        <v>2</v>
      </c>
      <c r="Z8" s="92"/>
      <c r="AA8" s="93"/>
      <c r="AB8" s="94"/>
    </row>
    <row r="9" spans="1:30" ht="16.5" customHeight="1">
      <c r="A9" s="14">
        <v>6</v>
      </c>
      <c r="B9" s="42">
        <v>6</v>
      </c>
      <c r="C9" s="79" t="s">
        <v>8</v>
      </c>
      <c r="D9" s="72" t="s">
        <v>159</v>
      </c>
      <c r="E9" s="42" t="s">
        <v>3</v>
      </c>
      <c r="F9" s="42">
        <v>120</v>
      </c>
      <c r="G9" s="42">
        <v>0</v>
      </c>
      <c r="H9" s="42">
        <v>0</v>
      </c>
      <c r="I9" s="255">
        <v>0</v>
      </c>
      <c r="J9" s="401"/>
      <c r="K9" s="42">
        <v>0</v>
      </c>
      <c r="L9" s="42">
        <v>0</v>
      </c>
      <c r="M9" s="255">
        <v>0</v>
      </c>
      <c r="N9" s="42">
        <v>0</v>
      </c>
      <c r="O9" s="42"/>
      <c r="P9" s="42"/>
      <c r="Q9" s="264">
        <f t="shared" si="0"/>
        <v>120</v>
      </c>
      <c r="R9" s="88">
        <v>0</v>
      </c>
      <c r="S9" s="37"/>
      <c r="T9" s="37"/>
      <c r="U9" s="37"/>
      <c r="V9" s="37"/>
      <c r="W9" s="1"/>
      <c r="X9" s="264">
        <f t="shared" si="1"/>
        <v>120</v>
      </c>
      <c r="Z9" s="95"/>
      <c r="AA9" s="93"/>
      <c r="AB9" s="94"/>
    </row>
    <row r="10" spans="1:30" ht="16.5" customHeight="1">
      <c r="A10" s="14">
        <v>7</v>
      </c>
      <c r="B10" s="42">
        <v>7</v>
      </c>
      <c r="C10" s="79" t="s">
        <v>9</v>
      </c>
      <c r="D10" s="71" t="s">
        <v>160</v>
      </c>
      <c r="E10" s="42" t="s">
        <v>3</v>
      </c>
      <c r="F10" s="42">
        <v>30</v>
      </c>
      <c r="G10" s="42">
        <v>0</v>
      </c>
      <c r="H10" s="42">
        <v>0</v>
      </c>
      <c r="I10" s="255">
        <v>0</v>
      </c>
      <c r="J10" s="401"/>
      <c r="K10" s="42">
        <v>0</v>
      </c>
      <c r="L10" s="42">
        <v>0</v>
      </c>
      <c r="M10" s="255">
        <v>0</v>
      </c>
      <c r="N10" s="42">
        <v>0</v>
      </c>
      <c r="O10" s="42"/>
      <c r="P10" s="42"/>
      <c r="Q10" s="264">
        <f t="shared" si="0"/>
        <v>30</v>
      </c>
      <c r="R10" s="88">
        <v>0</v>
      </c>
      <c r="S10" s="37"/>
      <c r="T10" s="37"/>
      <c r="U10" s="37"/>
      <c r="V10" s="37"/>
      <c r="W10" s="1"/>
      <c r="X10" s="264">
        <f t="shared" si="1"/>
        <v>30</v>
      </c>
      <c r="Z10" s="95"/>
      <c r="AA10" s="93"/>
      <c r="AB10" s="94"/>
    </row>
    <row r="11" spans="1:30" ht="16.5" customHeight="1">
      <c r="A11" s="14">
        <v>8</v>
      </c>
      <c r="B11" s="42">
        <v>8</v>
      </c>
      <c r="C11" s="79" t="s">
        <v>11</v>
      </c>
      <c r="D11" s="73" t="s">
        <v>161</v>
      </c>
      <c r="E11" s="42" t="s">
        <v>3</v>
      </c>
      <c r="F11" s="42">
        <v>4</v>
      </c>
      <c r="G11" s="42">
        <v>0</v>
      </c>
      <c r="H11" s="42">
        <v>0</v>
      </c>
      <c r="I11" s="255">
        <v>0</v>
      </c>
      <c r="J11" s="401"/>
      <c r="K11" s="42">
        <v>0</v>
      </c>
      <c r="L11" s="42">
        <v>0</v>
      </c>
      <c r="M11" s="255">
        <v>0</v>
      </c>
      <c r="N11" s="42">
        <v>0</v>
      </c>
      <c r="O11" s="42"/>
      <c r="P11" s="42"/>
      <c r="Q11" s="264">
        <f t="shared" si="0"/>
        <v>4</v>
      </c>
      <c r="R11" s="88">
        <v>0</v>
      </c>
      <c r="S11" s="37"/>
      <c r="T11" s="37"/>
      <c r="U11" s="37"/>
      <c r="V11" s="37"/>
      <c r="W11" s="1"/>
      <c r="X11" s="264">
        <f t="shared" si="1"/>
        <v>4</v>
      </c>
      <c r="Z11" s="95"/>
      <c r="AA11" s="93"/>
      <c r="AB11" s="94"/>
    </row>
    <row r="12" spans="1:30" ht="15" customHeight="1">
      <c r="A12" s="14">
        <v>9</v>
      </c>
      <c r="B12" s="42">
        <v>9</v>
      </c>
      <c r="C12" s="79" t="s">
        <v>12</v>
      </c>
      <c r="D12" s="73" t="s">
        <v>162</v>
      </c>
      <c r="E12" s="42" t="s">
        <v>3</v>
      </c>
      <c r="F12" s="42">
        <v>4</v>
      </c>
      <c r="G12" s="42">
        <v>0</v>
      </c>
      <c r="H12" s="42">
        <v>0</v>
      </c>
      <c r="I12" s="255">
        <v>0</v>
      </c>
      <c r="J12" s="401"/>
      <c r="K12" s="42">
        <v>0</v>
      </c>
      <c r="L12" s="42">
        <v>0</v>
      </c>
      <c r="M12" s="255">
        <v>0</v>
      </c>
      <c r="N12" s="42">
        <v>0</v>
      </c>
      <c r="O12" s="42"/>
      <c r="P12" s="42"/>
      <c r="Q12" s="264">
        <f t="shared" si="0"/>
        <v>4</v>
      </c>
      <c r="R12" s="88">
        <v>0</v>
      </c>
      <c r="S12" s="37"/>
      <c r="T12" s="37"/>
      <c r="U12" s="37"/>
      <c r="V12" s="37"/>
      <c r="W12" s="1"/>
      <c r="X12" s="264">
        <f t="shared" si="1"/>
        <v>4</v>
      </c>
      <c r="Z12" s="95"/>
      <c r="AA12" s="93"/>
      <c r="AB12" s="94"/>
    </row>
    <row r="13" spans="1:30" ht="16.5" customHeight="1">
      <c r="A13" s="14">
        <v>10</v>
      </c>
      <c r="B13" s="42">
        <v>10</v>
      </c>
      <c r="C13" s="79" t="s">
        <v>149</v>
      </c>
      <c r="D13" s="73" t="s">
        <v>161</v>
      </c>
      <c r="E13" s="42" t="s">
        <v>3</v>
      </c>
      <c r="F13" s="42">
        <v>2</v>
      </c>
      <c r="G13" s="42">
        <v>0</v>
      </c>
      <c r="H13" s="42">
        <v>0</v>
      </c>
      <c r="I13" s="255">
        <v>0</v>
      </c>
      <c r="J13" s="401"/>
      <c r="K13" s="42">
        <v>0</v>
      </c>
      <c r="L13" s="42">
        <v>0</v>
      </c>
      <c r="M13" s="255">
        <v>0</v>
      </c>
      <c r="N13" s="42">
        <v>0</v>
      </c>
      <c r="O13" s="42"/>
      <c r="P13" s="42"/>
      <c r="Q13" s="264">
        <f t="shared" si="0"/>
        <v>2</v>
      </c>
      <c r="R13" s="88">
        <v>0</v>
      </c>
      <c r="S13" s="37"/>
      <c r="T13" s="37"/>
      <c r="U13" s="37"/>
      <c r="V13" s="37"/>
      <c r="W13" s="1"/>
      <c r="X13" s="264">
        <f t="shared" si="1"/>
        <v>2</v>
      </c>
      <c r="Z13" s="95"/>
      <c r="AA13" s="93"/>
      <c r="AB13" s="94"/>
    </row>
    <row r="14" spans="1:30" ht="16.5" customHeight="1">
      <c r="A14" s="14">
        <v>11</v>
      </c>
      <c r="B14" s="42">
        <v>11</v>
      </c>
      <c r="C14" s="79" t="s">
        <v>14</v>
      </c>
      <c r="D14" s="73" t="s">
        <v>163</v>
      </c>
      <c r="E14" s="42" t="s">
        <v>3</v>
      </c>
      <c r="F14" s="42">
        <v>22</v>
      </c>
      <c r="G14" s="42">
        <v>0</v>
      </c>
      <c r="H14" s="42">
        <v>0</v>
      </c>
      <c r="I14" s="255">
        <v>0</v>
      </c>
      <c r="J14" s="401"/>
      <c r="K14" s="42">
        <v>0</v>
      </c>
      <c r="L14" s="42">
        <v>0</v>
      </c>
      <c r="M14" s="255">
        <v>0</v>
      </c>
      <c r="N14" s="42">
        <v>0</v>
      </c>
      <c r="O14" s="42"/>
      <c r="P14" s="42"/>
      <c r="Q14" s="264">
        <f t="shared" si="0"/>
        <v>22</v>
      </c>
      <c r="R14" s="88">
        <v>0</v>
      </c>
      <c r="S14" s="37"/>
      <c r="T14" s="37"/>
      <c r="U14" s="37"/>
      <c r="V14" s="37"/>
      <c r="W14" s="1"/>
      <c r="X14" s="264">
        <f t="shared" si="1"/>
        <v>22</v>
      </c>
      <c r="Z14" s="95"/>
      <c r="AA14" s="93"/>
      <c r="AB14" s="94"/>
    </row>
    <row r="15" spans="1:30" ht="16.5" customHeight="1">
      <c r="A15" s="14">
        <v>12</v>
      </c>
      <c r="B15" s="42">
        <v>12</v>
      </c>
      <c r="C15" s="79" t="s">
        <v>150</v>
      </c>
      <c r="D15" s="73" t="s">
        <v>164</v>
      </c>
      <c r="E15" s="42" t="s">
        <v>3</v>
      </c>
      <c r="F15" s="42">
        <v>4</v>
      </c>
      <c r="G15" s="42">
        <v>0</v>
      </c>
      <c r="H15" s="42">
        <v>0</v>
      </c>
      <c r="I15" s="255">
        <v>0</v>
      </c>
      <c r="J15" s="401"/>
      <c r="K15" s="42">
        <v>0</v>
      </c>
      <c r="L15" s="42">
        <v>0</v>
      </c>
      <c r="M15" s="255">
        <v>0</v>
      </c>
      <c r="N15" s="42">
        <v>0</v>
      </c>
      <c r="O15" s="42"/>
      <c r="P15" s="42"/>
      <c r="Q15" s="264">
        <f t="shared" si="0"/>
        <v>4</v>
      </c>
      <c r="R15" s="88">
        <v>0</v>
      </c>
      <c r="S15" s="37"/>
      <c r="T15" s="37"/>
      <c r="U15" s="37"/>
      <c r="V15" s="37"/>
      <c r="W15" s="1"/>
      <c r="X15" s="264">
        <f t="shared" si="1"/>
        <v>4</v>
      </c>
      <c r="Z15" s="95"/>
      <c r="AA15" s="93"/>
      <c r="AB15" s="94"/>
    </row>
    <row r="16" spans="1:30" ht="16.5" customHeight="1">
      <c r="A16" s="14">
        <v>13</v>
      </c>
      <c r="B16" s="42">
        <v>13</v>
      </c>
      <c r="C16" s="79" t="s">
        <v>151</v>
      </c>
      <c r="D16" s="73" t="s">
        <v>164</v>
      </c>
      <c r="E16" s="42" t="s">
        <v>3</v>
      </c>
      <c r="F16" s="42">
        <v>4</v>
      </c>
      <c r="G16" s="42">
        <v>0</v>
      </c>
      <c r="H16" s="42">
        <v>0</v>
      </c>
      <c r="I16" s="255">
        <v>0</v>
      </c>
      <c r="J16" s="401"/>
      <c r="K16" s="42">
        <v>0</v>
      </c>
      <c r="L16" s="42">
        <v>0</v>
      </c>
      <c r="M16" s="255">
        <v>0</v>
      </c>
      <c r="N16" s="42">
        <v>0</v>
      </c>
      <c r="O16" s="42"/>
      <c r="P16" s="42"/>
      <c r="Q16" s="264">
        <f t="shared" si="0"/>
        <v>4</v>
      </c>
      <c r="R16" s="88">
        <v>0</v>
      </c>
      <c r="S16" s="37"/>
      <c r="T16" s="37"/>
      <c r="U16" s="37"/>
      <c r="V16" s="37"/>
      <c r="W16" s="1"/>
      <c r="X16" s="264">
        <f t="shared" si="1"/>
        <v>4</v>
      </c>
      <c r="Z16" s="95"/>
      <c r="AA16" s="93"/>
      <c r="AB16" s="94"/>
    </row>
    <row r="17" spans="1:28" ht="16.5" customHeight="1">
      <c r="A17" s="14">
        <v>14</v>
      </c>
      <c r="B17" s="42">
        <v>14</v>
      </c>
      <c r="C17" s="79" t="s">
        <v>15</v>
      </c>
      <c r="D17" s="72" t="s">
        <v>165</v>
      </c>
      <c r="E17" s="42" t="s">
        <v>3</v>
      </c>
      <c r="F17" s="42">
        <v>8</v>
      </c>
      <c r="G17" s="42">
        <v>0</v>
      </c>
      <c r="H17" s="42">
        <v>0</v>
      </c>
      <c r="I17" s="255">
        <v>0</v>
      </c>
      <c r="J17" s="401"/>
      <c r="K17" s="42">
        <v>0</v>
      </c>
      <c r="L17" s="42">
        <v>0</v>
      </c>
      <c r="M17" s="255">
        <v>0</v>
      </c>
      <c r="N17" s="42">
        <v>0</v>
      </c>
      <c r="O17" s="42"/>
      <c r="P17" s="42"/>
      <c r="Q17" s="264">
        <f t="shared" si="0"/>
        <v>8</v>
      </c>
      <c r="R17" s="88">
        <v>0</v>
      </c>
      <c r="S17" s="37"/>
      <c r="T17" s="37"/>
      <c r="U17" s="37"/>
      <c r="V17" s="37"/>
      <c r="W17" s="1"/>
      <c r="X17" s="264">
        <f t="shared" si="1"/>
        <v>8</v>
      </c>
      <c r="Z17" s="96"/>
      <c r="AA17" s="97"/>
      <c r="AB17" s="91"/>
    </row>
    <row r="18" spans="1:28" ht="16.5" customHeight="1">
      <c r="A18" s="14">
        <v>15</v>
      </c>
      <c r="B18" s="42">
        <v>15</v>
      </c>
      <c r="C18" s="79" t="s">
        <v>152</v>
      </c>
      <c r="D18" s="72" t="s">
        <v>166</v>
      </c>
      <c r="E18" s="42" t="s">
        <v>3</v>
      </c>
      <c r="F18" s="42">
        <v>12</v>
      </c>
      <c r="G18" s="42">
        <v>0</v>
      </c>
      <c r="H18" s="42">
        <v>0</v>
      </c>
      <c r="I18" s="255">
        <v>0</v>
      </c>
      <c r="J18" s="401"/>
      <c r="K18" s="42">
        <v>0</v>
      </c>
      <c r="L18" s="42">
        <v>0</v>
      </c>
      <c r="M18" s="255">
        <v>0</v>
      </c>
      <c r="N18" s="42">
        <v>0</v>
      </c>
      <c r="O18" s="42"/>
      <c r="P18" s="42"/>
      <c r="Q18" s="264">
        <f t="shared" si="0"/>
        <v>12</v>
      </c>
      <c r="R18" s="88">
        <v>0</v>
      </c>
      <c r="S18" s="37"/>
      <c r="T18" s="37"/>
      <c r="U18" s="37"/>
      <c r="V18" s="37"/>
      <c r="W18" s="1"/>
      <c r="X18" s="264">
        <f t="shared" si="1"/>
        <v>12</v>
      </c>
      <c r="Z18" s="96"/>
      <c r="AA18" s="97"/>
      <c r="AB18" s="91"/>
    </row>
    <row r="19" spans="1:28" ht="16.5" customHeight="1">
      <c r="A19" s="14">
        <v>16</v>
      </c>
      <c r="B19" s="42">
        <v>16</v>
      </c>
      <c r="C19" s="79" t="s">
        <v>153</v>
      </c>
      <c r="D19" s="72" t="s">
        <v>166</v>
      </c>
      <c r="E19" s="42" t="s">
        <v>3</v>
      </c>
      <c r="F19" s="42">
        <v>12</v>
      </c>
      <c r="G19" s="42">
        <v>0</v>
      </c>
      <c r="H19" s="42">
        <v>0</v>
      </c>
      <c r="I19" s="255">
        <v>0</v>
      </c>
      <c r="J19" s="401"/>
      <c r="K19" s="42">
        <v>0</v>
      </c>
      <c r="L19" s="42">
        <v>0</v>
      </c>
      <c r="M19" s="255">
        <v>0</v>
      </c>
      <c r="N19" s="42">
        <v>0</v>
      </c>
      <c r="O19" s="42"/>
      <c r="P19" s="42"/>
      <c r="Q19" s="264">
        <f t="shared" si="0"/>
        <v>12</v>
      </c>
      <c r="R19" s="88">
        <v>0</v>
      </c>
      <c r="S19" s="50"/>
      <c r="T19" s="50"/>
      <c r="U19" s="50"/>
      <c r="V19" s="50"/>
      <c r="W19" s="1"/>
      <c r="X19" s="264">
        <f t="shared" si="1"/>
        <v>12</v>
      </c>
      <c r="Z19" s="96"/>
      <c r="AA19" s="97"/>
      <c r="AB19" s="91"/>
    </row>
    <row r="20" spans="1:28" ht="16.5" customHeight="1">
      <c r="A20" s="14">
        <v>17</v>
      </c>
      <c r="B20" s="42">
        <v>17</v>
      </c>
      <c r="C20" s="79" t="s">
        <v>154</v>
      </c>
      <c r="D20" s="72" t="s">
        <v>167</v>
      </c>
      <c r="E20" s="42" t="s">
        <v>3</v>
      </c>
      <c r="F20" s="42">
        <v>12</v>
      </c>
      <c r="G20" s="42">
        <v>0</v>
      </c>
      <c r="H20" s="42">
        <v>0</v>
      </c>
      <c r="I20" s="255">
        <v>0</v>
      </c>
      <c r="J20" s="401"/>
      <c r="K20" s="42">
        <v>0</v>
      </c>
      <c r="L20" s="42">
        <v>0</v>
      </c>
      <c r="M20" s="255">
        <v>0</v>
      </c>
      <c r="N20" s="42">
        <v>0</v>
      </c>
      <c r="O20" s="42"/>
      <c r="P20" s="42"/>
      <c r="Q20" s="264">
        <f t="shared" si="0"/>
        <v>12</v>
      </c>
      <c r="R20" s="88">
        <v>0</v>
      </c>
      <c r="S20" s="37"/>
      <c r="T20" s="37"/>
      <c r="U20" s="37"/>
      <c r="V20" s="37"/>
      <c r="W20" s="1"/>
      <c r="X20" s="264">
        <f t="shared" si="1"/>
        <v>12</v>
      </c>
      <c r="Z20" s="95"/>
      <c r="AA20" s="93"/>
      <c r="AB20" s="94"/>
    </row>
    <row r="21" spans="1:28" ht="16.5" customHeight="1">
      <c r="A21" s="14">
        <v>18</v>
      </c>
      <c r="B21" s="42">
        <v>18</v>
      </c>
      <c r="C21" s="79" t="s">
        <v>16</v>
      </c>
      <c r="D21" s="72" t="s">
        <v>167</v>
      </c>
      <c r="E21" s="42" t="s">
        <v>3</v>
      </c>
      <c r="F21" s="42">
        <v>12</v>
      </c>
      <c r="G21" s="42">
        <v>0</v>
      </c>
      <c r="H21" s="42">
        <v>0</v>
      </c>
      <c r="I21" s="255">
        <v>0</v>
      </c>
      <c r="J21" s="401"/>
      <c r="K21" s="42">
        <v>0</v>
      </c>
      <c r="L21" s="42">
        <v>0</v>
      </c>
      <c r="M21" s="255">
        <v>0</v>
      </c>
      <c r="N21" s="42">
        <v>0</v>
      </c>
      <c r="O21" s="42"/>
      <c r="P21" s="42"/>
      <c r="Q21" s="264">
        <f t="shared" si="0"/>
        <v>12</v>
      </c>
      <c r="R21" s="88">
        <v>0</v>
      </c>
      <c r="S21" s="37"/>
      <c r="T21" s="37"/>
      <c r="U21" s="37"/>
      <c r="V21" s="37"/>
      <c r="W21" s="1"/>
      <c r="X21" s="264">
        <f t="shared" si="1"/>
        <v>12</v>
      </c>
      <c r="Z21" s="96"/>
      <c r="AA21" s="97"/>
      <c r="AB21" s="91"/>
    </row>
    <row r="22" spans="1:28" ht="16.5" customHeight="1">
      <c r="A22" s="14">
        <v>19</v>
      </c>
      <c r="B22" s="42">
        <v>19</v>
      </c>
      <c r="C22" s="79" t="s">
        <v>17</v>
      </c>
      <c r="D22" s="72" t="s">
        <v>167</v>
      </c>
      <c r="E22" s="42" t="s">
        <v>3</v>
      </c>
      <c r="F22" s="42">
        <v>12</v>
      </c>
      <c r="G22" s="42">
        <v>0</v>
      </c>
      <c r="H22" s="42">
        <v>0</v>
      </c>
      <c r="I22" s="255">
        <v>0</v>
      </c>
      <c r="J22" s="401"/>
      <c r="K22" s="42">
        <v>0</v>
      </c>
      <c r="L22" s="42">
        <v>0</v>
      </c>
      <c r="M22" s="255">
        <v>0</v>
      </c>
      <c r="N22" s="42">
        <v>0</v>
      </c>
      <c r="O22" s="42"/>
      <c r="P22" s="42"/>
      <c r="Q22" s="264">
        <f t="shared" si="0"/>
        <v>12</v>
      </c>
      <c r="R22" s="88">
        <v>0</v>
      </c>
      <c r="S22" s="37"/>
      <c r="T22" s="37"/>
      <c r="U22" s="37"/>
      <c r="V22" s="37"/>
      <c r="W22" s="1"/>
      <c r="X22" s="264">
        <f t="shared" si="1"/>
        <v>12</v>
      </c>
      <c r="Z22" s="95"/>
      <c r="AA22" s="93"/>
      <c r="AB22" s="94"/>
    </row>
    <row r="23" spans="1:28" ht="16.5" customHeight="1">
      <c r="A23" s="14">
        <v>20</v>
      </c>
      <c r="B23" s="42">
        <v>20</v>
      </c>
      <c r="C23" s="79" t="s">
        <v>18</v>
      </c>
      <c r="D23" s="74" t="s">
        <v>168</v>
      </c>
      <c r="E23" s="42" t="s">
        <v>3</v>
      </c>
      <c r="F23" s="42">
        <v>24</v>
      </c>
      <c r="G23" s="42">
        <v>0</v>
      </c>
      <c r="H23" s="42">
        <v>0</v>
      </c>
      <c r="I23" s="255">
        <v>0</v>
      </c>
      <c r="J23" s="401"/>
      <c r="K23" s="42">
        <v>0</v>
      </c>
      <c r="L23" s="42">
        <v>0</v>
      </c>
      <c r="M23" s="255">
        <v>0</v>
      </c>
      <c r="N23" s="42">
        <v>0</v>
      </c>
      <c r="O23" s="42"/>
      <c r="P23" s="42"/>
      <c r="Q23" s="264">
        <f t="shared" si="0"/>
        <v>24</v>
      </c>
      <c r="R23" s="88">
        <v>0</v>
      </c>
      <c r="S23" s="37"/>
      <c r="T23" s="37"/>
      <c r="U23" s="37"/>
      <c r="V23" s="37"/>
      <c r="W23" s="1"/>
      <c r="X23" s="264">
        <f t="shared" si="1"/>
        <v>24</v>
      </c>
      <c r="Z23" s="95"/>
      <c r="AA23" s="93"/>
      <c r="AB23" s="94"/>
    </row>
    <row r="24" spans="1:28" ht="16.5" customHeight="1">
      <c r="A24" s="14">
        <v>21</v>
      </c>
      <c r="B24" s="42">
        <v>21</v>
      </c>
      <c r="C24" s="79" t="s">
        <v>19</v>
      </c>
      <c r="D24" s="74" t="s">
        <v>168</v>
      </c>
      <c r="E24" s="42" t="s">
        <v>3</v>
      </c>
      <c r="F24" s="42">
        <v>24</v>
      </c>
      <c r="G24" s="42">
        <v>0</v>
      </c>
      <c r="H24" s="42">
        <v>0</v>
      </c>
      <c r="I24" s="255">
        <v>0</v>
      </c>
      <c r="J24" s="401"/>
      <c r="K24" s="42">
        <v>0</v>
      </c>
      <c r="L24" s="42">
        <v>0</v>
      </c>
      <c r="M24" s="255">
        <v>0</v>
      </c>
      <c r="N24" s="42">
        <v>0</v>
      </c>
      <c r="O24" s="42"/>
      <c r="P24" s="42"/>
      <c r="Q24" s="264">
        <f t="shared" si="0"/>
        <v>24</v>
      </c>
      <c r="R24" s="88">
        <v>0</v>
      </c>
      <c r="S24" s="37"/>
      <c r="T24" s="37"/>
      <c r="U24" s="37"/>
      <c r="V24" s="37"/>
      <c r="W24" s="1"/>
      <c r="X24" s="264">
        <f t="shared" si="1"/>
        <v>24</v>
      </c>
      <c r="Z24" s="96"/>
      <c r="AA24" s="97"/>
      <c r="AB24" s="91"/>
    </row>
    <row r="25" spans="1:28" ht="16.5" customHeight="1">
      <c r="A25" s="14">
        <v>22</v>
      </c>
      <c r="B25" s="42">
        <v>22</v>
      </c>
      <c r="C25" s="79" t="s">
        <v>20</v>
      </c>
      <c r="D25" s="72" t="s">
        <v>169</v>
      </c>
      <c r="E25" s="42" t="s">
        <v>3</v>
      </c>
      <c r="F25" s="42">
        <v>6</v>
      </c>
      <c r="G25" s="42">
        <v>0</v>
      </c>
      <c r="H25" s="42">
        <v>0</v>
      </c>
      <c r="I25" s="255">
        <v>0</v>
      </c>
      <c r="J25" s="401"/>
      <c r="K25" s="42">
        <v>0</v>
      </c>
      <c r="L25" s="42">
        <v>0</v>
      </c>
      <c r="M25" s="255">
        <v>0</v>
      </c>
      <c r="N25" s="42">
        <v>0</v>
      </c>
      <c r="O25" s="42"/>
      <c r="P25" s="42"/>
      <c r="Q25" s="264">
        <f t="shared" si="0"/>
        <v>6</v>
      </c>
      <c r="R25" s="88">
        <v>0</v>
      </c>
      <c r="S25" s="37"/>
      <c r="T25" s="37"/>
      <c r="U25" s="37"/>
      <c r="V25" s="37"/>
      <c r="W25" s="1"/>
      <c r="X25" s="264">
        <f t="shared" si="1"/>
        <v>6</v>
      </c>
      <c r="Z25" s="96"/>
      <c r="AA25" s="97"/>
      <c r="AB25" s="91"/>
    </row>
    <row r="26" spans="1:28" ht="15" customHeight="1">
      <c r="A26" s="14">
        <v>23</v>
      </c>
      <c r="B26" s="42">
        <v>23</v>
      </c>
      <c r="C26" s="79" t="s">
        <v>155</v>
      </c>
      <c r="D26" s="72" t="s">
        <v>169</v>
      </c>
      <c r="E26" s="42" t="s">
        <v>3</v>
      </c>
      <c r="F26" s="42">
        <v>6</v>
      </c>
      <c r="G26" s="42">
        <v>0</v>
      </c>
      <c r="H26" s="42">
        <v>0</v>
      </c>
      <c r="I26" s="255">
        <v>0</v>
      </c>
      <c r="J26" s="401"/>
      <c r="K26" s="42">
        <v>0</v>
      </c>
      <c r="L26" s="42">
        <v>0</v>
      </c>
      <c r="M26" s="255">
        <v>0</v>
      </c>
      <c r="N26" s="42">
        <v>0</v>
      </c>
      <c r="O26" s="42"/>
      <c r="P26" s="42"/>
      <c r="Q26" s="264">
        <f t="shared" si="0"/>
        <v>6</v>
      </c>
      <c r="R26" s="88">
        <v>0</v>
      </c>
      <c r="S26" s="37"/>
      <c r="T26" s="37"/>
      <c r="U26" s="37"/>
      <c r="V26" s="37"/>
      <c r="W26" s="1"/>
      <c r="X26" s="264">
        <f t="shared" si="1"/>
        <v>6</v>
      </c>
      <c r="Z26" s="95"/>
      <c r="AA26" s="93"/>
      <c r="AB26" s="94"/>
    </row>
    <row r="27" spans="1:28" s="145" customFormat="1" ht="30" customHeight="1">
      <c r="A27" s="106">
        <v>1</v>
      </c>
      <c r="B27" s="104">
        <v>24</v>
      </c>
      <c r="C27" s="270" t="s">
        <v>170</v>
      </c>
      <c r="D27" s="266" t="s">
        <v>172</v>
      </c>
      <c r="E27" s="104" t="s">
        <v>3</v>
      </c>
      <c r="F27" s="104">
        <v>0</v>
      </c>
      <c r="G27" s="103">
        <v>10</v>
      </c>
      <c r="H27" s="104">
        <v>0</v>
      </c>
      <c r="I27" s="256">
        <v>0</v>
      </c>
      <c r="J27" s="401"/>
      <c r="K27" s="249">
        <v>3</v>
      </c>
      <c r="L27" s="249">
        <v>1</v>
      </c>
      <c r="M27" s="172">
        <v>0</v>
      </c>
      <c r="N27" s="272">
        <v>5</v>
      </c>
      <c r="O27" s="104" t="s">
        <v>577</v>
      </c>
      <c r="P27" s="104" t="s">
        <v>573</v>
      </c>
      <c r="Q27" s="263">
        <f>F27+G27+H27+I27+K27+L27-N27</f>
        <v>9</v>
      </c>
      <c r="R27" s="263">
        <f>F27+G27+H27+I27-Q27</f>
        <v>1</v>
      </c>
      <c r="S27" s="267" t="s">
        <v>534</v>
      </c>
      <c r="T27" s="267" t="s">
        <v>535</v>
      </c>
      <c r="U27" s="268" t="s">
        <v>678</v>
      </c>
      <c r="V27" s="268" t="s">
        <v>677</v>
      </c>
      <c r="W27" s="269"/>
      <c r="X27" s="263">
        <f t="shared" si="1"/>
        <v>9</v>
      </c>
      <c r="Z27" s="146"/>
      <c r="AA27" s="147"/>
      <c r="AB27" s="148"/>
    </row>
    <row r="28" spans="1:28" s="35" customFormat="1" ht="15" customHeight="1">
      <c r="A28" s="42">
        <v>1</v>
      </c>
      <c r="B28" s="42">
        <v>25</v>
      </c>
      <c r="C28" s="47" t="s">
        <v>405</v>
      </c>
      <c r="D28" s="75" t="s">
        <v>386</v>
      </c>
      <c r="E28" s="47" t="s">
        <v>3</v>
      </c>
      <c r="F28" s="42">
        <v>0</v>
      </c>
      <c r="G28" s="42">
        <v>0</v>
      </c>
      <c r="H28" s="77">
        <v>4</v>
      </c>
      <c r="I28" s="255">
        <v>0</v>
      </c>
      <c r="J28" s="401"/>
      <c r="K28" s="42">
        <v>0</v>
      </c>
      <c r="L28" s="42">
        <v>0</v>
      </c>
      <c r="M28" s="255">
        <v>0</v>
      </c>
      <c r="N28" s="42">
        <v>0</v>
      </c>
      <c r="O28" s="42"/>
      <c r="P28" s="42"/>
      <c r="Q28" s="264">
        <f>F28+G28+H28+I28+K28-N28</f>
        <v>4</v>
      </c>
      <c r="R28" s="88">
        <v>0</v>
      </c>
      <c r="S28" s="48"/>
      <c r="T28" s="48"/>
      <c r="U28" s="48"/>
      <c r="V28" s="48"/>
      <c r="W28" s="49"/>
      <c r="X28" s="264">
        <f t="shared" si="1"/>
        <v>4</v>
      </c>
    </row>
    <row r="29" spans="1:28" ht="15" customHeight="1">
      <c r="A29" s="14">
        <v>2</v>
      </c>
      <c r="B29" s="42">
        <v>26</v>
      </c>
      <c r="C29" s="47" t="s">
        <v>406</v>
      </c>
      <c r="D29" s="75" t="s">
        <v>386</v>
      </c>
      <c r="E29" s="47" t="s">
        <v>3</v>
      </c>
      <c r="F29" s="42">
        <v>0</v>
      </c>
      <c r="G29" s="42">
        <v>0</v>
      </c>
      <c r="H29" s="77">
        <v>4</v>
      </c>
      <c r="I29" s="255">
        <v>0</v>
      </c>
      <c r="J29" s="401"/>
      <c r="K29" s="42">
        <v>0</v>
      </c>
      <c r="L29" s="42">
        <v>0</v>
      </c>
      <c r="M29" s="255">
        <v>0</v>
      </c>
      <c r="N29" s="42">
        <v>0</v>
      </c>
      <c r="O29" s="42"/>
      <c r="P29" s="42"/>
      <c r="Q29" s="264">
        <f t="shared" ref="Q29:Q34" si="2">F29+G29+H29+I29-N29</f>
        <v>4</v>
      </c>
      <c r="R29" s="88">
        <v>0</v>
      </c>
      <c r="S29" s="48"/>
      <c r="T29" s="48"/>
      <c r="U29" s="48"/>
      <c r="V29" s="48"/>
      <c r="W29" s="1"/>
      <c r="X29" s="264">
        <f t="shared" si="1"/>
        <v>4</v>
      </c>
    </row>
    <row r="30" spans="1:28" ht="15" customHeight="1">
      <c r="A30" s="42">
        <v>3</v>
      </c>
      <c r="B30" s="42">
        <v>27</v>
      </c>
      <c r="C30" s="47" t="s">
        <v>408</v>
      </c>
      <c r="D30" s="75" t="s">
        <v>387</v>
      </c>
      <c r="E30" s="47" t="s">
        <v>3</v>
      </c>
      <c r="F30" s="42">
        <v>0</v>
      </c>
      <c r="G30" s="42">
        <v>0</v>
      </c>
      <c r="H30" s="77">
        <v>4</v>
      </c>
      <c r="I30" s="255">
        <v>0</v>
      </c>
      <c r="J30" s="401"/>
      <c r="K30" s="42">
        <v>0</v>
      </c>
      <c r="L30" s="42">
        <v>0</v>
      </c>
      <c r="M30" s="255">
        <v>0</v>
      </c>
      <c r="N30" s="42">
        <v>0</v>
      </c>
      <c r="O30" s="42"/>
      <c r="P30" s="42"/>
      <c r="Q30" s="264">
        <f t="shared" si="2"/>
        <v>4</v>
      </c>
      <c r="R30" s="88">
        <v>0</v>
      </c>
      <c r="S30" s="48"/>
      <c r="T30" s="48"/>
      <c r="U30" s="48"/>
      <c r="V30" s="48"/>
      <c r="W30" s="1"/>
      <c r="X30" s="264">
        <f t="shared" si="1"/>
        <v>4</v>
      </c>
    </row>
    <row r="31" spans="1:28" ht="15" customHeight="1">
      <c r="A31" s="14">
        <v>4</v>
      </c>
      <c r="B31" s="42">
        <v>28</v>
      </c>
      <c r="C31" s="47" t="s">
        <v>407</v>
      </c>
      <c r="D31" s="75" t="s">
        <v>387</v>
      </c>
      <c r="E31" s="47" t="s">
        <v>3</v>
      </c>
      <c r="F31" s="42">
        <v>0</v>
      </c>
      <c r="G31" s="42">
        <v>0</v>
      </c>
      <c r="H31" s="77">
        <v>4</v>
      </c>
      <c r="I31" s="255">
        <v>0</v>
      </c>
      <c r="J31" s="401"/>
      <c r="K31" s="42">
        <v>0</v>
      </c>
      <c r="L31" s="42">
        <v>0</v>
      </c>
      <c r="M31" s="255">
        <v>0</v>
      </c>
      <c r="N31" s="42">
        <v>0</v>
      </c>
      <c r="O31" s="42"/>
      <c r="P31" s="42"/>
      <c r="Q31" s="264">
        <f t="shared" si="2"/>
        <v>4</v>
      </c>
      <c r="R31" s="88">
        <v>0</v>
      </c>
      <c r="S31" s="48"/>
      <c r="T31" s="48"/>
      <c r="U31" s="48"/>
      <c r="V31" s="48"/>
      <c r="W31" s="1"/>
      <c r="X31" s="264">
        <f t="shared" si="1"/>
        <v>4</v>
      </c>
    </row>
    <row r="32" spans="1:28" ht="15" customHeight="1">
      <c r="A32" s="42">
        <v>5</v>
      </c>
      <c r="B32" s="42">
        <v>29</v>
      </c>
      <c r="C32" s="39" t="s">
        <v>13</v>
      </c>
      <c r="D32" s="248" t="s">
        <v>386</v>
      </c>
      <c r="E32" s="39" t="s">
        <v>3</v>
      </c>
      <c r="F32" s="39">
        <v>0</v>
      </c>
      <c r="G32" s="39">
        <v>0</v>
      </c>
      <c r="H32" s="142">
        <v>8</v>
      </c>
      <c r="I32" s="172">
        <v>0</v>
      </c>
      <c r="J32" s="401"/>
      <c r="K32" s="39">
        <v>0</v>
      </c>
      <c r="L32" s="39">
        <v>0</v>
      </c>
      <c r="M32" s="255">
        <v>0</v>
      </c>
      <c r="N32" s="39">
        <v>0</v>
      </c>
      <c r="Q32" s="264">
        <f t="shared" si="2"/>
        <v>8</v>
      </c>
      <c r="R32" s="264">
        <v>0</v>
      </c>
      <c r="S32" s="1"/>
      <c r="T32" s="1"/>
      <c r="U32" s="1"/>
      <c r="V32" s="1"/>
      <c r="W32" s="1"/>
      <c r="X32" s="264">
        <f t="shared" si="1"/>
        <v>8</v>
      </c>
    </row>
    <row r="33" spans="1:24" ht="15" customHeight="1">
      <c r="A33" s="14">
        <v>6</v>
      </c>
      <c r="B33" s="42">
        <v>30</v>
      </c>
      <c r="C33" s="47" t="s">
        <v>409</v>
      </c>
      <c r="D33" s="75" t="s">
        <v>388</v>
      </c>
      <c r="E33" s="47" t="s">
        <v>3</v>
      </c>
      <c r="F33" s="42">
        <v>0</v>
      </c>
      <c r="G33" s="42">
        <v>0</v>
      </c>
      <c r="H33" s="77">
        <v>6</v>
      </c>
      <c r="I33" s="255">
        <v>0</v>
      </c>
      <c r="J33" s="401"/>
      <c r="K33" s="42">
        <v>0</v>
      </c>
      <c r="L33" s="42">
        <v>0</v>
      </c>
      <c r="M33" s="255">
        <v>0</v>
      </c>
      <c r="N33" s="42">
        <v>0</v>
      </c>
      <c r="O33" s="42"/>
      <c r="P33" s="42"/>
      <c r="Q33" s="264">
        <f t="shared" si="2"/>
        <v>6</v>
      </c>
      <c r="R33" s="88">
        <v>0</v>
      </c>
      <c r="S33" s="48"/>
      <c r="T33" s="48"/>
      <c r="U33" s="48"/>
      <c r="V33" s="48"/>
      <c r="W33" s="1"/>
      <c r="X33" s="264">
        <f t="shared" si="1"/>
        <v>6</v>
      </c>
    </row>
    <row r="34" spans="1:24" ht="15" customHeight="1">
      <c r="A34" s="42">
        <v>7</v>
      </c>
      <c r="B34" s="42">
        <v>31</v>
      </c>
      <c r="C34" s="47" t="s">
        <v>14</v>
      </c>
      <c r="D34" s="75" t="s">
        <v>410</v>
      </c>
      <c r="E34" s="47" t="s">
        <v>3</v>
      </c>
      <c r="F34" s="42">
        <v>0</v>
      </c>
      <c r="G34" s="42">
        <v>0</v>
      </c>
      <c r="H34" s="77">
        <v>2</v>
      </c>
      <c r="I34" s="255">
        <v>0</v>
      </c>
      <c r="J34" s="401"/>
      <c r="K34" s="42">
        <v>0</v>
      </c>
      <c r="L34" s="42">
        <v>0</v>
      </c>
      <c r="M34" s="255">
        <v>0</v>
      </c>
      <c r="N34" s="42">
        <v>0</v>
      </c>
      <c r="O34" s="42"/>
      <c r="P34" s="42"/>
      <c r="Q34" s="264">
        <f t="shared" si="2"/>
        <v>2</v>
      </c>
      <c r="R34" s="88">
        <v>0</v>
      </c>
      <c r="S34" s="48"/>
      <c r="T34" s="48"/>
      <c r="U34" s="48"/>
      <c r="V34" s="48"/>
      <c r="W34" s="1"/>
      <c r="X34" s="264">
        <f t="shared" si="1"/>
        <v>2</v>
      </c>
    </row>
    <row r="35" spans="1:24" ht="30" customHeight="1">
      <c r="A35" s="106">
        <v>8</v>
      </c>
      <c r="B35" s="104">
        <v>32</v>
      </c>
      <c r="C35" s="104" t="s">
        <v>411</v>
      </c>
      <c r="D35" s="271" t="s">
        <v>389</v>
      </c>
      <c r="E35" s="104" t="s">
        <v>3</v>
      </c>
      <c r="F35" s="104">
        <v>0</v>
      </c>
      <c r="G35" s="104">
        <v>0</v>
      </c>
      <c r="H35" s="103">
        <v>2</v>
      </c>
      <c r="I35" s="256">
        <v>4</v>
      </c>
      <c r="J35" s="401"/>
      <c r="K35" s="39">
        <v>0</v>
      </c>
      <c r="L35" s="39">
        <v>0</v>
      </c>
      <c r="M35" s="249">
        <v>6</v>
      </c>
      <c r="N35" s="272">
        <v>6</v>
      </c>
      <c r="O35" s="104" t="s">
        <v>774</v>
      </c>
      <c r="P35" s="104" t="s">
        <v>775</v>
      </c>
      <c r="Q35" s="263">
        <f>F35+G35+H35+I35+K35+L35+M35-N35</f>
        <v>6</v>
      </c>
      <c r="R35" s="263">
        <v>0</v>
      </c>
      <c r="S35" s="263" t="s">
        <v>776</v>
      </c>
      <c r="T35" s="263" t="s">
        <v>777</v>
      </c>
      <c r="U35" s="263" t="s">
        <v>778</v>
      </c>
      <c r="V35" s="105" t="s">
        <v>779</v>
      </c>
      <c r="W35" s="267" t="s">
        <v>784</v>
      </c>
      <c r="X35" s="263">
        <f t="shared" si="1"/>
        <v>6</v>
      </c>
    </row>
    <row r="36" spans="1:24" ht="15" customHeight="1">
      <c r="A36" s="42">
        <v>9</v>
      </c>
      <c r="B36" s="42">
        <v>33</v>
      </c>
      <c r="C36" s="47" t="s">
        <v>412</v>
      </c>
      <c r="D36" s="75" t="s">
        <v>390</v>
      </c>
      <c r="E36" s="47" t="s">
        <v>3</v>
      </c>
      <c r="F36" s="42">
        <v>0</v>
      </c>
      <c r="G36" s="42">
        <v>0</v>
      </c>
      <c r="H36" s="77">
        <v>6</v>
      </c>
      <c r="I36" s="255">
        <v>0</v>
      </c>
      <c r="J36" s="401"/>
      <c r="K36" s="42">
        <v>0</v>
      </c>
      <c r="L36" s="42">
        <v>0</v>
      </c>
      <c r="M36" s="255">
        <v>0</v>
      </c>
      <c r="N36" s="42">
        <v>0</v>
      </c>
      <c r="O36" s="42"/>
      <c r="P36" s="42"/>
      <c r="Q36" s="264">
        <f t="shared" ref="Q36:Q61" si="3">F36+G36+H36+I36-N36</f>
        <v>6</v>
      </c>
      <c r="R36" s="88">
        <v>0</v>
      </c>
      <c r="S36" s="48"/>
      <c r="T36" s="48"/>
      <c r="U36" s="48"/>
      <c r="V36" s="48"/>
      <c r="W36" s="1"/>
      <c r="X36" s="264">
        <f t="shared" si="1"/>
        <v>6</v>
      </c>
    </row>
    <row r="37" spans="1:24" ht="15" customHeight="1">
      <c r="A37" s="14">
        <v>10</v>
      </c>
      <c r="B37" s="42">
        <v>34</v>
      </c>
      <c r="C37" s="47" t="s">
        <v>413</v>
      </c>
      <c r="D37" s="75" t="s">
        <v>390</v>
      </c>
      <c r="E37" s="47" t="s">
        <v>3</v>
      </c>
      <c r="F37" s="42">
        <v>0</v>
      </c>
      <c r="G37" s="42">
        <v>0</v>
      </c>
      <c r="H37" s="77">
        <v>6</v>
      </c>
      <c r="I37" s="255">
        <v>0</v>
      </c>
      <c r="J37" s="401"/>
      <c r="K37" s="42">
        <v>0</v>
      </c>
      <c r="L37" s="42">
        <v>0</v>
      </c>
      <c r="M37" s="255">
        <v>0</v>
      </c>
      <c r="N37" s="42">
        <v>0</v>
      </c>
      <c r="O37" s="42"/>
      <c r="P37" s="42"/>
      <c r="Q37" s="264">
        <f t="shared" si="3"/>
        <v>6</v>
      </c>
      <c r="R37" s="88">
        <v>0</v>
      </c>
      <c r="S37" s="48"/>
      <c r="T37" s="48"/>
      <c r="U37" s="48"/>
      <c r="V37" s="48"/>
      <c r="W37" s="1"/>
      <c r="X37" s="264">
        <f t="shared" si="1"/>
        <v>6</v>
      </c>
    </row>
    <row r="38" spans="1:24" ht="15" customHeight="1">
      <c r="A38" s="182">
        <v>11</v>
      </c>
      <c r="B38" s="182">
        <v>35</v>
      </c>
      <c r="C38" s="182" t="s">
        <v>414</v>
      </c>
      <c r="D38" s="183" t="s">
        <v>391</v>
      </c>
      <c r="E38" s="182" t="s">
        <v>3</v>
      </c>
      <c r="F38" s="182">
        <v>0</v>
      </c>
      <c r="G38" s="182">
        <v>0</v>
      </c>
      <c r="H38" s="184">
        <v>10</v>
      </c>
      <c r="I38" s="277">
        <v>0</v>
      </c>
      <c r="J38" s="401"/>
      <c r="K38" s="182">
        <v>0</v>
      </c>
      <c r="L38" s="182">
        <v>0</v>
      </c>
      <c r="M38" s="277">
        <v>0</v>
      </c>
      <c r="N38" s="182">
        <v>0</v>
      </c>
      <c r="O38" s="182"/>
      <c r="P38" s="182"/>
      <c r="Q38" s="264">
        <f t="shared" si="3"/>
        <v>10</v>
      </c>
      <c r="R38" s="88">
        <v>0</v>
      </c>
      <c r="S38" s="186"/>
      <c r="T38" s="186"/>
      <c r="U38" s="186"/>
      <c r="V38" s="186"/>
      <c r="W38" s="187" t="s">
        <v>643</v>
      </c>
      <c r="X38" s="264">
        <f t="shared" si="1"/>
        <v>10</v>
      </c>
    </row>
    <row r="39" spans="1:24" ht="15" customHeight="1">
      <c r="A39" s="185">
        <v>12</v>
      </c>
      <c r="B39" s="182">
        <v>36</v>
      </c>
      <c r="C39" s="182" t="s">
        <v>415</v>
      </c>
      <c r="D39" s="183" t="s">
        <v>391</v>
      </c>
      <c r="E39" s="182" t="s">
        <v>3</v>
      </c>
      <c r="F39" s="182">
        <v>0</v>
      </c>
      <c r="G39" s="182">
        <v>0</v>
      </c>
      <c r="H39" s="184">
        <v>10</v>
      </c>
      <c r="I39" s="277">
        <v>0</v>
      </c>
      <c r="J39" s="401"/>
      <c r="K39" s="182">
        <v>0</v>
      </c>
      <c r="L39" s="182">
        <v>0</v>
      </c>
      <c r="M39" s="277">
        <v>0</v>
      </c>
      <c r="N39" s="182">
        <v>0</v>
      </c>
      <c r="O39" s="182"/>
      <c r="P39" s="182"/>
      <c r="Q39" s="264">
        <f t="shared" si="3"/>
        <v>10</v>
      </c>
      <c r="R39" s="88">
        <v>0</v>
      </c>
      <c r="S39" s="186"/>
      <c r="T39" s="186"/>
      <c r="U39" s="186"/>
      <c r="V39" s="186"/>
      <c r="W39" s="187" t="s">
        <v>643</v>
      </c>
      <c r="X39" s="264">
        <f t="shared" si="1"/>
        <v>10</v>
      </c>
    </row>
    <row r="40" spans="1:24" ht="15" customHeight="1">
      <c r="A40" s="182">
        <v>13</v>
      </c>
      <c r="B40" s="182">
        <v>37</v>
      </c>
      <c r="C40" s="182" t="s">
        <v>416</v>
      </c>
      <c r="D40" s="183" t="s">
        <v>392</v>
      </c>
      <c r="E40" s="182" t="s">
        <v>3</v>
      </c>
      <c r="F40" s="182">
        <v>0</v>
      </c>
      <c r="G40" s="182">
        <v>0</v>
      </c>
      <c r="H40" s="184">
        <v>40</v>
      </c>
      <c r="I40" s="277">
        <v>0</v>
      </c>
      <c r="J40" s="401"/>
      <c r="K40" s="182">
        <v>0</v>
      </c>
      <c r="L40" s="182">
        <v>0</v>
      </c>
      <c r="M40" s="277">
        <v>0</v>
      </c>
      <c r="N40" s="182">
        <v>0</v>
      </c>
      <c r="O40" s="182"/>
      <c r="P40" s="182"/>
      <c r="Q40" s="264">
        <f t="shared" si="3"/>
        <v>40</v>
      </c>
      <c r="R40" s="88">
        <v>0</v>
      </c>
      <c r="S40" s="186"/>
      <c r="T40" s="186"/>
      <c r="U40" s="186"/>
      <c r="V40" s="186"/>
      <c r="W40" s="187" t="s">
        <v>643</v>
      </c>
      <c r="X40" s="264">
        <f t="shared" si="1"/>
        <v>40</v>
      </c>
    </row>
    <row r="41" spans="1:24" ht="15" customHeight="1">
      <c r="A41" s="185">
        <v>14</v>
      </c>
      <c r="B41" s="182">
        <v>38</v>
      </c>
      <c r="C41" s="182" t="s">
        <v>417</v>
      </c>
      <c r="D41" s="183" t="s">
        <v>393</v>
      </c>
      <c r="E41" s="182" t="s">
        <v>3</v>
      </c>
      <c r="F41" s="182">
        <v>0</v>
      </c>
      <c r="G41" s="182">
        <v>0</v>
      </c>
      <c r="H41" s="184">
        <v>40</v>
      </c>
      <c r="I41" s="277">
        <v>0</v>
      </c>
      <c r="J41" s="401"/>
      <c r="K41" s="182">
        <v>0</v>
      </c>
      <c r="L41" s="182">
        <v>0</v>
      </c>
      <c r="M41" s="277">
        <v>0</v>
      </c>
      <c r="N41" s="182">
        <v>0</v>
      </c>
      <c r="O41" s="182"/>
      <c r="P41" s="182"/>
      <c r="Q41" s="264">
        <f t="shared" si="3"/>
        <v>40</v>
      </c>
      <c r="R41" s="88">
        <v>0</v>
      </c>
      <c r="S41" s="186"/>
      <c r="T41" s="186"/>
      <c r="U41" s="186"/>
      <c r="V41" s="186"/>
      <c r="W41" s="187" t="s">
        <v>643</v>
      </c>
      <c r="X41" s="264">
        <f t="shared" si="1"/>
        <v>40</v>
      </c>
    </row>
    <row r="42" spans="1:24" ht="15" customHeight="1">
      <c r="A42" s="182">
        <v>15</v>
      </c>
      <c r="B42" s="182">
        <v>39</v>
      </c>
      <c r="C42" s="182" t="s">
        <v>418</v>
      </c>
      <c r="D42" s="183" t="s">
        <v>393</v>
      </c>
      <c r="E42" s="182" t="s">
        <v>3</v>
      </c>
      <c r="F42" s="182">
        <v>0</v>
      </c>
      <c r="G42" s="182">
        <v>0</v>
      </c>
      <c r="H42" s="184">
        <v>240</v>
      </c>
      <c r="I42" s="277">
        <v>0</v>
      </c>
      <c r="J42" s="401"/>
      <c r="K42" s="182">
        <v>0</v>
      </c>
      <c r="L42" s="182">
        <v>0</v>
      </c>
      <c r="M42" s="277">
        <v>0</v>
      </c>
      <c r="N42" s="182">
        <v>0</v>
      </c>
      <c r="O42" s="182"/>
      <c r="P42" s="182"/>
      <c r="Q42" s="264">
        <f t="shared" si="3"/>
        <v>240</v>
      </c>
      <c r="R42" s="88">
        <v>0</v>
      </c>
      <c r="S42" s="186"/>
      <c r="T42" s="186"/>
      <c r="U42" s="186"/>
      <c r="V42" s="186"/>
      <c r="W42" s="187" t="s">
        <v>643</v>
      </c>
      <c r="X42" s="264">
        <f t="shared" si="1"/>
        <v>240</v>
      </c>
    </row>
    <row r="43" spans="1:24" ht="15" customHeight="1">
      <c r="A43" s="185">
        <v>16</v>
      </c>
      <c r="B43" s="182">
        <v>40</v>
      </c>
      <c r="C43" s="182" t="s">
        <v>419</v>
      </c>
      <c r="D43" s="183" t="s">
        <v>393</v>
      </c>
      <c r="E43" s="182" t="s">
        <v>3</v>
      </c>
      <c r="F43" s="182">
        <v>0</v>
      </c>
      <c r="G43" s="182">
        <v>0</v>
      </c>
      <c r="H43" s="184">
        <v>40</v>
      </c>
      <c r="I43" s="277">
        <v>0</v>
      </c>
      <c r="J43" s="401"/>
      <c r="K43" s="182">
        <v>0</v>
      </c>
      <c r="L43" s="182">
        <v>0</v>
      </c>
      <c r="M43" s="277">
        <v>0</v>
      </c>
      <c r="N43" s="182">
        <v>0</v>
      </c>
      <c r="O43" s="182"/>
      <c r="P43" s="182"/>
      <c r="Q43" s="264">
        <f t="shared" si="3"/>
        <v>40</v>
      </c>
      <c r="R43" s="88">
        <v>0</v>
      </c>
      <c r="S43" s="186"/>
      <c r="T43" s="186"/>
      <c r="U43" s="186"/>
      <c r="V43" s="186"/>
      <c r="W43" s="187" t="s">
        <v>643</v>
      </c>
      <c r="X43" s="264">
        <f t="shared" si="1"/>
        <v>40</v>
      </c>
    </row>
    <row r="44" spans="1:24" ht="15" customHeight="1">
      <c r="A44" s="182">
        <v>17</v>
      </c>
      <c r="B44" s="182">
        <v>41</v>
      </c>
      <c r="C44" s="182" t="s">
        <v>644</v>
      </c>
      <c r="D44" s="183" t="s">
        <v>393</v>
      </c>
      <c r="E44" s="182" t="s">
        <v>3</v>
      </c>
      <c r="F44" s="182">
        <v>0</v>
      </c>
      <c r="G44" s="182">
        <v>0</v>
      </c>
      <c r="H44" s="184">
        <v>440</v>
      </c>
      <c r="I44" s="277">
        <v>0</v>
      </c>
      <c r="J44" s="401"/>
      <c r="K44" s="182">
        <v>0</v>
      </c>
      <c r="L44" s="182">
        <v>0</v>
      </c>
      <c r="M44" s="277">
        <v>0</v>
      </c>
      <c r="N44" s="182">
        <v>0</v>
      </c>
      <c r="O44" s="182"/>
      <c r="P44" s="182"/>
      <c r="Q44" s="264">
        <f t="shared" si="3"/>
        <v>440</v>
      </c>
      <c r="R44" s="88">
        <v>0</v>
      </c>
      <c r="S44" s="186"/>
      <c r="T44" s="186"/>
      <c r="U44" s="186"/>
      <c r="V44" s="186"/>
      <c r="W44" s="187" t="s">
        <v>643</v>
      </c>
      <c r="X44" s="264">
        <f t="shared" si="1"/>
        <v>440</v>
      </c>
    </row>
    <row r="45" spans="1:24" ht="15" customHeight="1">
      <c r="A45" s="185">
        <v>18</v>
      </c>
      <c r="B45" s="182">
        <v>42</v>
      </c>
      <c r="C45" s="182" t="s">
        <v>420</v>
      </c>
      <c r="D45" s="183" t="s">
        <v>394</v>
      </c>
      <c r="E45" s="182" t="s">
        <v>3</v>
      </c>
      <c r="F45" s="182">
        <v>0</v>
      </c>
      <c r="G45" s="182">
        <v>0</v>
      </c>
      <c r="H45" s="184">
        <v>120</v>
      </c>
      <c r="I45" s="277">
        <v>0</v>
      </c>
      <c r="J45" s="401"/>
      <c r="K45" s="182">
        <v>0</v>
      </c>
      <c r="L45" s="182">
        <v>0</v>
      </c>
      <c r="M45" s="277">
        <v>0</v>
      </c>
      <c r="N45" s="182">
        <v>0</v>
      </c>
      <c r="O45" s="182"/>
      <c r="P45" s="182"/>
      <c r="Q45" s="264">
        <f t="shared" si="3"/>
        <v>120</v>
      </c>
      <c r="R45" s="88">
        <v>0</v>
      </c>
      <c r="S45" s="186"/>
      <c r="T45" s="186"/>
      <c r="U45" s="186"/>
      <c r="V45" s="186"/>
      <c r="W45" s="187" t="s">
        <v>643</v>
      </c>
      <c r="X45" s="264">
        <f t="shared" si="1"/>
        <v>120</v>
      </c>
    </row>
    <row r="46" spans="1:24" ht="15" customHeight="1">
      <c r="A46" s="182">
        <v>19</v>
      </c>
      <c r="B46" s="182">
        <v>43</v>
      </c>
      <c r="C46" s="182" t="s">
        <v>421</v>
      </c>
      <c r="D46" s="183" t="s">
        <v>642</v>
      </c>
      <c r="E46" s="182" t="s">
        <v>3</v>
      </c>
      <c r="F46" s="182">
        <v>0</v>
      </c>
      <c r="G46" s="182">
        <v>0</v>
      </c>
      <c r="H46" s="184">
        <v>80</v>
      </c>
      <c r="I46" s="277">
        <v>0</v>
      </c>
      <c r="J46" s="401"/>
      <c r="K46" s="182">
        <v>0</v>
      </c>
      <c r="L46" s="182">
        <v>0</v>
      </c>
      <c r="M46" s="277">
        <v>0</v>
      </c>
      <c r="N46" s="182">
        <v>0</v>
      </c>
      <c r="O46" s="182"/>
      <c r="P46" s="182"/>
      <c r="Q46" s="264">
        <f t="shared" si="3"/>
        <v>80</v>
      </c>
      <c r="R46" s="88">
        <v>0</v>
      </c>
      <c r="S46" s="186"/>
      <c r="T46" s="186"/>
      <c r="U46" s="186"/>
      <c r="V46" s="186"/>
      <c r="W46" s="187" t="s">
        <v>643</v>
      </c>
      <c r="X46" s="264">
        <f t="shared" si="1"/>
        <v>80</v>
      </c>
    </row>
    <row r="47" spans="1:24" ht="15" customHeight="1">
      <c r="A47" s="185">
        <v>20</v>
      </c>
      <c r="B47" s="182">
        <v>44</v>
      </c>
      <c r="C47" s="182" t="s">
        <v>422</v>
      </c>
      <c r="D47" s="183" t="s">
        <v>395</v>
      </c>
      <c r="E47" s="182" t="s">
        <v>3</v>
      </c>
      <c r="F47" s="182">
        <v>0</v>
      </c>
      <c r="G47" s="182">
        <v>0</v>
      </c>
      <c r="H47" s="184">
        <v>87</v>
      </c>
      <c r="I47" s="277">
        <v>0</v>
      </c>
      <c r="J47" s="401"/>
      <c r="K47" s="182">
        <v>0</v>
      </c>
      <c r="L47" s="182">
        <v>0</v>
      </c>
      <c r="M47" s="277">
        <v>0</v>
      </c>
      <c r="N47" s="182">
        <v>0</v>
      </c>
      <c r="O47" s="182"/>
      <c r="P47" s="182"/>
      <c r="Q47" s="264">
        <f t="shared" si="3"/>
        <v>87</v>
      </c>
      <c r="R47" s="88">
        <v>0</v>
      </c>
      <c r="S47" s="186"/>
      <c r="T47" s="186"/>
      <c r="U47" s="186"/>
      <c r="V47" s="186"/>
      <c r="W47" s="187" t="s">
        <v>643</v>
      </c>
      <c r="X47" s="264">
        <f t="shared" si="1"/>
        <v>87</v>
      </c>
    </row>
    <row r="48" spans="1:24" ht="15" customHeight="1">
      <c r="A48" s="42">
        <v>21</v>
      </c>
      <c r="B48" s="42">
        <v>45</v>
      </c>
      <c r="C48" s="47" t="s">
        <v>423</v>
      </c>
      <c r="D48" s="75" t="s">
        <v>396</v>
      </c>
      <c r="E48" s="47" t="s">
        <v>3</v>
      </c>
      <c r="F48" s="42">
        <v>0</v>
      </c>
      <c r="G48" s="42">
        <v>0</v>
      </c>
      <c r="H48" s="77">
        <v>160</v>
      </c>
      <c r="I48" s="255">
        <v>0</v>
      </c>
      <c r="J48" s="401"/>
      <c r="K48" s="42">
        <v>0</v>
      </c>
      <c r="L48" s="42">
        <v>0</v>
      </c>
      <c r="M48" s="255">
        <v>0</v>
      </c>
      <c r="N48" s="42">
        <v>0</v>
      </c>
      <c r="O48" s="42"/>
      <c r="P48" s="42"/>
      <c r="Q48" s="264">
        <f t="shared" si="3"/>
        <v>160</v>
      </c>
      <c r="R48" s="88">
        <v>0</v>
      </c>
      <c r="S48" s="48"/>
      <c r="T48" s="48"/>
      <c r="U48" s="48"/>
      <c r="V48" s="48"/>
      <c r="W48" s="1"/>
      <c r="X48" s="264">
        <f t="shared" si="1"/>
        <v>160</v>
      </c>
    </row>
    <row r="49" spans="1:27" ht="15" customHeight="1">
      <c r="A49" s="14">
        <v>22</v>
      </c>
      <c r="B49" s="42">
        <v>46</v>
      </c>
      <c r="C49" s="47">
        <v>474815</v>
      </c>
      <c r="D49" s="75" t="s">
        <v>397</v>
      </c>
      <c r="E49" s="47" t="s">
        <v>3</v>
      </c>
      <c r="F49" s="42">
        <v>0</v>
      </c>
      <c r="G49" s="42">
        <v>0</v>
      </c>
      <c r="H49" s="77">
        <v>220</v>
      </c>
      <c r="I49" s="255">
        <v>0</v>
      </c>
      <c r="J49" s="401"/>
      <c r="K49" s="42">
        <v>0</v>
      </c>
      <c r="L49" s="42">
        <v>0</v>
      </c>
      <c r="M49" s="255">
        <v>0</v>
      </c>
      <c r="N49" s="42">
        <v>0</v>
      </c>
      <c r="O49" s="42"/>
      <c r="P49" s="42"/>
      <c r="Q49" s="264">
        <f t="shared" si="3"/>
        <v>220</v>
      </c>
      <c r="R49" s="88">
        <v>0</v>
      </c>
      <c r="S49" s="48"/>
      <c r="T49" s="48"/>
      <c r="U49" s="48"/>
      <c r="V49" s="48"/>
      <c r="W49" s="1"/>
      <c r="X49" s="264">
        <f t="shared" si="1"/>
        <v>220</v>
      </c>
    </row>
    <row r="50" spans="1:27" ht="15" customHeight="1">
      <c r="A50" s="42">
        <v>23</v>
      </c>
      <c r="B50" s="42">
        <v>47</v>
      </c>
      <c r="C50" s="47">
        <v>475660</v>
      </c>
      <c r="D50" s="75" t="s">
        <v>398</v>
      </c>
      <c r="E50" s="47" t="s">
        <v>3</v>
      </c>
      <c r="F50" s="42">
        <v>0</v>
      </c>
      <c r="G50" s="42">
        <v>0</v>
      </c>
      <c r="H50" s="77">
        <v>160</v>
      </c>
      <c r="I50" s="255">
        <v>0</v>
      </c>
      <c r="J50" s="401"/>
      <c r="K50" s="42">
        <v>0</v>
      </c>
      <c r="L50" s="42">
        <v>0</v>
      </c>
      <c r="M50" s="255">
        <v>0</v>
      </c>
      <c r="N50" s="42">
        <v>0</v>
      </c>
      <c r="O50" s="42"/>
      <c r="P50" s="42"/>
      <c r="Q50" s="264">
        <f t="shared" si="3"/>
        <v>160</v>
      </c>
      <c r="R50" s="88">
        <v>0</v>
      </c>
      <c r="S50" s="48"/>
      <c r="T50" s="48"/>
      <c r="U50" s="48"/>
      <c r="V50" s="48"/>
      <c r="W50" s="1"/>
      <c r="X50" s="264">
        <f t="shared" si="1"/>
        <v>160</v>
      </c>
    </row>
    <row r="51" spans="1:27" ht="15" customHeight="1">
      <c r="A51" s="14">
        <v>24</v>
      </c>
      <c r="B51" s="42">
        <v>48</v>
      </c>
      <c r="C51" s="47">
        <v>477305</v>
      </c>
      <c r="D51" s="75" t="s">
        <v>399</v>
      </c>
      <c r="E51" s="47" t="s">
        <v>3</v>
      </c>
      <c r="F51" s="42">
        <v>0</v>
      </c>
      <c r="G51" s="42">
        <v>0</v>
      </c>
      <c r="H51" s="77">
        <v>80</v>
      </c>
      <c r="I51" s="255">
        <v>0</v>
      </c>
      <c r="J51" s="401"/>
      <c r="K51" s="42">
        <v>0</v>
      </c>
      <c r="L51" s="42">
        <v>0</v>
      </c>
      <c r="M51" s="255">
        <v>0</v>
      </c>
      <c r="N51" s="42">
        <v>0</v>
      </c>
      <c r="O51" s="42"/>
      <c r="P51" s="42"/>
      <c r="Q51" s="264">
        <f t="shared" si="3"/>
        <v>80</v>
      </c>
      <c r="R51" s="88">
        <v>0</v>
      </c>
      <c r="S51" s="48"/>
      <c r="T51" s="48"/>
      <c r="U51" s="48"/>
      <c r="V51" s="48"/>
      <c r="W51" s="1"/>
      <c r="X51" s="264">
        <f t="shared" si="1"/>
        <v>80</v>
      </c>
    </row>
    <row r="52" spans="1:27" ht="15" customHeight="1">
      <c r="A52" s="42">
        <v>25</v>
      </c>
      <c r="B52" s="42">
        <v>49</v>
      </c>
      <c r="C52" s="47">
        <v>478090</v>
      </c>
      <c r="D52" s="75" t="s">
        <v>641</v>
      </c>
      <c r="E52" s="47" t="s">
        <v>3</v>
      </c>
      <c r="F52" s="42">
        <v>0</v>
      </c>
      <c r="G52" s="42">
        <v>0</v>
      </c>
      <c r="H52" s="77">
        <v>100</v>
      </c>
      <c r="I52" s="255">
        <v>0</v>
      </c>
      <c r="J52" s="401"/>
      <c r="K52" s="42">
        <v>0</v>
      </c>
      <c r="L52" s="42">
        <v>0</v>
      </c>
      <c r="M52" s="255">
        <v>0</v>
      </c>
      <c r="N52" s="42">
        <v>0</v>
      </c>
      <c r="O52" s="42"/>
      <c r="P52" s="42"/>
      <c r="Q52" s="264">
        <f t="shared" si="3"/>
        <v>100</v>
      </c>
      <c r="R52" s="88">
        <v>0</v>
      </c>
      <c r="S52" s="48"/>
      <c r="T52" s="48"/>
      <c r="U52" s="48"/>
      <c r="V52" s="48"/>
      <c r="W52" s="1"/>
      <c r="X52" s="264">
        <f t="shared" si="1"/>
        <v>100</v>
      </c>
    </row>
    <row r="53" spans="1:27" ht="15" customHeight="1">
      <c r="A53" s="14">
        <v>26</v>
      </c>
      <c r="B53" s="42">
        <v>50</v>
      </c>
      <c r="C53" s="47" t="s">
        <v>424</v>
      </c>
      <c r="D53" s="75" t="s">
        <v>401</v>
      </c>
      <c r="E53" s="47" t="s">
        <v>3</v>
      </c>
      <c r="F53" s="42">
        <v>0</v>
      </c>
      <c r="G53" s="42">
        <v>0</v>
      </c>
      <c r="H53" s="77">
        <v>80</v>
      </c>
      <c r="I53" s="255">
        <v>0</v>
      </c>
      <c r="J53" s="401"/>
      <c r="K53" s="42">
        <v>0</v>
      </c>
      <c r="L53" s="42">
        <v>0</v>
      </c>
      <c r="M53" s="255">
        <v>0</v>
      </c>
      <c r="N53" s="42">
        <v>0</v>
      </c>
      <c r="O53" s="42"/>
      <c r="P53" s="42"/>
      <c r="Q53" s="264">
        <f t="shared" si="3"/>
        <v>80</v>
      </c>
      <c r="R53" s="88">
        <v>0</v>
      </c>
      <c r="S53" s="48"/>
      <c r="T53" s="48"/>
      <c r="U53" s="48"/>
      <c r="V53" s="48"/>
      <c r="W53" s="1"/>
      <c r="X53" s="264">
        <f t="shared" si="1"/>
        <v>80</v>
      </c>
    </row>
    <row r="54" spans="1:27" ht="15" customHeight="1">
      <c r="A54" s="42">
        <v>27</v>
      </c>
      <c r="B54" s="42">
        <v>51</v>
      </c>
      <c r="C54" s="47" t="s">
        <v>425</v>
      </c>
      <c r="D54" s="75" t="s">
        <v>401</v>
      </c>
      <c r="E54" s="47" t="s">
        <v>3</v>
      </c>
      <c r="F54" s="42">
        <v>0</v>
      </c>
      <c r="G54" s="42">
        <v>0</v>
      </c>
      <c r="H54" s="77">
        <v>40</v>
      </c>
      <c r="I54" s="255">
        <v>0</v>
      </c>
      <c r="J54" s="401"/>
      <c r="K54" s="42">
        <v>0</v>
      </c>
      <c r="L54" s="42">
        <v>0</v>
      </c>
      <c r="M54" s="255">
        <v>0</v>
      </c>
      <c r="N54" s="42">
        <v>0</v>
      </c>
      <c r="O54" s="42"/>
      <c r="P54" s="42"/>
      <c r="Q54" s="264">
        <f t="shared" si="3"/>
        <v>40</v>
      </c>
      <c r="R54" s="88">
        <v>0</v>
      </c>
      <c r="S54" s="48"/>
      <c r="T54" s="48"/>
      <c r="U54" s="48"/>
      <c r="V54" s="48"/>
      <c r="W54" s="1"/>
      <c r="X54" s="264">
        <f t="shared" si="1"/>
        <v>40</v>
      </c>
    </row>
    <row r="55" spans="1:27" ht="15" customHeight="1">
      <c r="A55" s="14">
        <v>28</v>
      </c>
      <c r="B55" s="42">
        <v>52</v>
      </c>
      <c r="C55" s="47" t="s">
        <v>426</v>
      </c>
      <c r="D55" s="75" t="s">
        <v>402</v>
      </c>
      <c r="E55" s="47" t="s">
        <v>3</v>
      </c>
      <c r="F55" s="42">
        <v>0</v>
      </c>
      <c r="G55" s="42">
        <v>0</v>
      </c>
      <c r="H55" s="77">
        <v>60</v>
      </c>
      <c r="I55" s="255">
        <v>0</v>
      </c>
      <c r="J55" s="401"/>
      <c r="K55" s="42">
        <v>0</v>
      </c>
      <c r="L55" s="42">
        <v>0</v>
      </c>
      <c r="M55" s="255">
        <v>0</v>
      </c>
      <c r="N55" s="42">
        <v>0</v>
      </c>
      <c r="O55" s="42"/>
      <c r="P55" s="42"/>
      <c r="Q55" s="264">
        <f t="shared" si="3"/>
        <v>60</v>
      </c>
      <c r="R55" s="88">
        <v>0</v>
      </c>
      <c r="S55" s="48"/>
      <c r="T55" s="48"/>
      <c r="U55" s="48"/>
      <c r="V55" s="48"/>
      <c r="W55" s="1"/>
      <c r="X55" s="264">
        <f t="shared" si="1"/>
        <v>60</v>
      </c>
    </row>
    <row r="56" spans="1:27" ht="15" customHeight="1">
      <c r="A56" s="42">
        <v>29</v>
      </c>
      <c r="B56" s="42">
        <v>53</v>
      </c>
      <c r="C56" s="47" t="s">
        <v>427</v>
      </c>
      <c r="D56" s="75" t="s">
        <v>402</v>
      </c>
      <c r="E56" s="47" t="s">
        <v>3</v>
      </c>
      <c r="F56" s="42">
        <v>0</v>
      </c>
      <c r="G56" s="42">
        <v>0</v>
      </c>
      <c r="H56" s="77">
        <v>120</v>
      </c>
      <c r="I56" s="255">
        <v>0</v>
      </c>
      <c r="J56" s="401"/>
      <c r="K56" s="42">
        <v>0</v>
      </c>
      <c r="L56" s="42">
        <v>0</v>
      </c>
      <c r="M56" s="255">
        <v>0</v>
      </c>
      <c r="N56" s="42">
        <v>0</v>
      </c>
      <c r="O56" s="42"/>
      <c r="P56" s="42"/>
      <c r="Q56" s="264">
        <f t="shared" si="3"/>
        <v>120</v>
      </c>
      <c r="R56" s="88">
        <v>0</v>
      </c>
      <c r="S56" s="48"/>
      <c r="T56" s="48"/>
      <c r="U56" s="48"/>
      <c r="V56" s="48"/>
      <c r="W56" s="1"/>
      <c r="X56" s="264">
        <f t="shared" si="1"/>
        <v>120</v>
      </c>
    </row>
    <row r="57" spans="1:27" ht="15" customHeight="1">
      <c r="A57" s="14">
        <v>30</v>
      </c>
      <c r="B57" s="42">
        <v>54</v>
      </c>
      <c r="C57" s="47" t="s">
        <v>428</v>
      </c>
      <c r="D57" s="75" t="s">
        <v>403</v>
      </c>
      <c r="E57" s="47" t="s">
        <v>3</v>
      </c>
      <c r="F57" s="42">
        <v>0</v>
      </c>
      <c r="G57" s="42">
        <v>0</v>
      </c>
      <c r="H57" s="77">
        <v>160</v>
      </c>
      <c r="I57" s="255">
        <v>0</v>
      </c>
      <c r="J57" s="401"/>
      <c r="K57" s="42">
        <v>0</v>
      </c>
      <c r="L57" s="42">
        <v>0</v>
      </c>
      <c r="M57" s="255">
        <v>0</v>
      </c>
      <c r="N57" s="42">
        <v>0</v>
      </c>
      <c r="O57" s="42"/>
      <c r="P57" s="42"/>
      <c r="Q57" s="264">
        <f t="shared" si="3"/>
        <v>160</v>
      </c>
      <c r="R57" s="88">
        <v>0</v>
      </c>
      <c r="S57" s="48"/>
      <c r="T57" s="48"/>
      <c r="U57" s="48"/>
      <c r="V57" s="48"/>
      <c r="W57" s="1"/>
      <c r="X57" s="264">
        <f t="shared" si="1"/>
        <v>160</v>
      </c>
    </row>
    <row r="58" spans="1:27" ht="15" customHeight="1">
      <c r="A58" s="42">
        <v>31</v>
      </c>
      <c r="B58" s="42">
        <v>55</v>
      </c>
      <c r="C58" s="47" t="s">
        <v>429</v>
      </c>
      <c r="D58" s="75" t="s">
        <v>399</v>
      </c>
      <c r="E58" s="47" t="s">
        <v>3</v>
      </c>
      <c r="F58" s="42">
        <v>0</v>
      </c>
      <c r="G58" s="42">
        <v>0</v>
      </c>
      <c r="H58" s="77">
        <v>80</v>
      </c>
      <c r="I58" s="255">
        <v>0</v>
      </c>
      <c r="J58" s="401"/>
      <c r="K58" s="42">
        <v>0</v>
      </c>
      <c r="L58" s="42">
        <v>0</v>
      </c>
      <c r="M58" s="255">
        <v>0</v>
      </c>
      <c r="N58" s="42">
        <v>0</v>
      </c>
      <c r="O58" s="42"/>
      <c r="P58" s="42"/>
      <c r="Q58" s="264">
        <f t="shared" si="3"/>
        <v>80</v>
      </c>
      <c r="R58" s="88">
        <v>0</v>
      </c>
      <c r="S58" s="48"/>
      <c r="T58" s="48"/>
      <c r="U58" s="48"/>
      <c r="V58" s="48"/>
      <c r="W58" s="1"/>
      <c r="X58" s="264">
        <f t="shared" si="1"/>
        <v>80</v>
      </c>
    </row>
    <row r="59" spans="1:27" ht="15" customHeight="1">
      <c r="A59" s="14">
        <v>32</v>
      </c>
      <c r="B59" s="42">
        <v>56</v>
      </c>
      <c r="C59" s="47" t="s">
        <v>430</v>
      </c>
      <c r="D59" s="75" t="s">
        <v>399</v>
      </c>
      <c r="E59" s="47" t="s">
        <v>3</v>
      </c>
      <c r="F59" s="42">
        <v>0</v>
      </c>
      <c r="G59" s="42">
        <v>0</v>
      </c>
      <c r="H59" s="77">
        <v>70</v>
      </c>
      <c r="I59" s="255">
        <v>0</v>
      </c>
      <c r="J59" s="401"/>
      <c r="K59" s="42">
        <v>0</v>
      </c>
      <c r="L59" s="42">
        <v>0</v>
      </c>
      <c r="M59" s="255">
        <v>0</v>
      </c>
      <c r="N59" s="42">
        <v>0</v>
      </c>
      <c r="O59" s="42"/>
      <c r="P59" s="42"/>
      <c r="Q59" s="264">
        <f t="shared" si="3"/>
        <v>70</v>
      </c>
      <c r="R59" s="88">
        <v>0</v>
      </c>
      <c r="S59" s="48"/>
      <c r="T59" s="48"/>
      <c r="U59" s="48"/>
      <c r="V59" s="48"/>
      <c r="W59" s="1"/>
      <c r="X59" s="264">
        <f t="shared" si="1"/>
        <v>70</v>
      </c>
    </row>
    <row r="60" spans="1:27" ht="15" customHeight="1">
      <c r="A60" s="42">
        <v>33</v>
      </c>
      <c r="B60" s="42">
        <v>57</v>
      </c>
      <c r="C60" s="47" t="s">
        <v>431</v>
      </c>
      <c r="D60" s="75" t="s">
        <v>400</v>
      </c>
      <c r="E60" s="47" t="s">
        <v>3</v>
      </c>
      <c r="F60" s="42">
        <v>0</v>
      </c>
      <c r="G60" s="42">
        <v>0</v>
      </c>
      <c r="H60" s="77">
        <v>80</v>
      </c>
      <c r="I60" s="255">
        <v>0</v>
      </c>
      <c r="J60" s="401"/>
      <c r="K60" s="42">
        <v>0</v>
      </c>
      <c r="L60" s="42">
        <v>0</v>
      </c>
      <c r="M60" s="255">
        <v>0</v>
      </c>
      <c r="N60" s="42">
        <v>0</v>
      </c>
      <c r="O60" s="42"/>
      <c r="P60" s="42"/>
      <c r="Q60" s="264">
        <f t="shared" si="3"/>
        <v>80</v>
      </c>
      <c r="R60" s="88">
        <v>0</v>
      </c>
      <c r="S60" s="48"/>
      <c r="T60" s="48"/>
      <c r="U60" s="48"/>
      <c r="V60" s="48"/>
      <c r="W60" s="1"/>
      <c r="X60" s="264">
        <f t="shared" si="1"/>
        <v>80</v>
      </c>
    </row>
    <row r="61" spans="1:27" ht="15" customHeight="1">
      <c r="A61" s="14">
        <v>34</v>
      </c>
      <c r="B61" s="42">
        <v>58</v>
      </c>
      <c r="C61" s="47" t="s">
        <v>432</v>
      </c>
      <c r="D61" s="75" t="s">
        <v>398</v>
      </c>
      <c r="E61" s="47" t="s">
        <v>3</v>
      </c>
      <c r="F61" s="42">
        <v>0</v>
      </c>
      <c r="G61" s="42">
        <v>0</v>
      </c>
      <c r="H61" s="77">
        <v>220</v>
      </c>
      <c r="I61" s="255">
        <v>0</v>
      </c>
      <c r="J61" s="401"/>
      <c r="K61" s="42">
        <v>0</v>
      </c>
      <c r="L61" s="42">
        <v>0</v>
      </c>
      <c r="M61" s="255">
        <v>0</v>
      </c>
      <c r="N61" s="42">
        <v>0</v>
      </c>
      <c r="O61" s="42"/>
      <c r="P61" s="42"/>
      <c r="Q61" s="264">
        <f t="shared" si="3"/>
        <v>220</v>
      </c>
      <c r="R61" s="88">
        <v>0</v>
      </c>
      <c r="S61" s="48"/>
      <c r="T61" s="48"/>
      <c r="U61" s="48"/>
      <c r="V61" s="48"/>
      <c r="W61" s="1"/>
      <c r="X61" s="264">
        <f t="shared" si="1"/>
        <v>220</v>
      </c>
      <c r="AA61" s="52"/>
    </row>
    <row r="62" spans="1:27" ht="15" customHeight="1">
      <c r="A62" s="42">
        <v>35</v>
      </c>
      <c r="B62" s="42">
        <v>59</v>
      </c>
      <c r="C62" s="47" t="s">
        <v>433</v>
      </c>
      <c r="D62" s="75" t="s">
        <v>398</v>
      </c>
      <c r="E62" s="47" t="s">
        <v>3</v>
      </c>
      <c r="F62" s="42">
        <v>0</v>
      </c>
      <c r="G62" s="42">
        <v>0</v>
      </c>
      <c r="H62" s="77">
        <v>220</v>
      </c>
      <c r="I62" s="255">
        <v>0</v>
      </c>
      <c r="J62" s="401"/>
      <c r="K62" s="42">
        <v>0</v>
      </c>
      <c r="L62" s="42">
        <v>0</v>
      </c>
      <c r="M62" s="255">
        <v>0</v>
      </c>
      <c r="N62" s="42">
        <v>0</v>
      </c>
      <c r="O62" s="42"/>
      <c r="P62" s="42"/>
      <c r="Q62" s="264">
        <v>220</v>
      </c>
      <c r="R62" s="88">
        <v>0</v>
      </c>
      <c r="S62" s="48"/>
      <c r="T62" s="48"/>
      <c r="U62" s="48"/>
      <c r="V62" s="48"/>
      <c r="W62" s="1"/>
      <c r="X62" s="264">
        <f t="shared" si="1"/>
        <v>220</v>
      </c>
    </row>
    <row r="63" spans="1:27" ht="15" customHeight="1">
      <c r="A63" s="14">
        <v>36</v>
      </c>
      <c r="B63" s="42">
        <v>60</v>
      </c>
      <c r="C63" s="47" t="s">
        <v>648</v>
      </c>
      <c r="D63" s="75" t="s">
        <v>397</v>
      </c>
      <c r="E63" s="47" t="s">
        <v>3</v>
      </c>
      <c r="F63" s="42">
        <v>0</v>
      </c>
      <c r="G63" s="42">
        <v>0</v>
      </c>
      <c r="H63" s="77">
        <v>280</v>
      </c>
      <c r="I63" s="255">
        <v>0</v>
      </c>
      <c r="J63" s="401"/>
      <c r="K63" s="42">
        <v>0</v>
      </c>
      <c r="L63" s="42">
        <v>0</v>
      </c>
      <c r="M63" s="255">
        <v>0</v>
      </c>
      <c r="N63" s="42">
        <v>0</v>
      </c>
      <c r="O63" s="42"/>
      <c r="P63" s="42"/>
      <c r="Q63" s="264">
        <f t="shared" ref="Q63:Q68" si="4">F63+G63+H63+I63-N63</f>
        <v>280</v>
      </c>
      <c r="R63" s="88">
        <v>0</v>
      </c>
      <c r="S63" s="48"/>
      <c r="T63" s="48"/>
      <c r="U63" s="48"/>
      <c r="V63" s="48"/>
      <c r="W63" s="1"/>
      <c r="X63" s="264">
        <f t="shared" si="1"/>
        <v>280</v>
      </c>
    </row>
    <row r="64" spans="1:27" ht="15" customHeight="1">
      <c r="A64" s="42">
        <v>37</v>
      </c>
      <c r="B64" s="42">
        <v>61</v>
      </c>
      <c r="C64" s="47" t="s">
        <v>434</v>
      </c>
      <c r="D64" s="75" t="s">
        <v>650</v>
      </c>
      <c r="E64" s="47" t="s">
        <v>3</v>
      </c>
      <c r="F64" s="42">
        <v>0</v>
      </c>
      <c r="G64" s="42">
        <v>0</v>
      </c>
      <c r="H64" s="77">
        <v>10</v>
      </c>
      <c r="I64" s="255">
        <v>0</v>
      </c>
      <c r="J64" s="401"/>
      <c r="K64" s="42">
        <v>0</v>
      </c>
      <c r="L64" s="42">
        <v>0</v>
      </c>
      <c r="M64" s="255">
        <v>0</v>
      </c>
      <c r="N64" s="42">
        <v>0</v>
      </c>
      <c r="O64" s="42"/>
      <c r="P64" s="42"/>
      <c r="Q64" s="264">
        <f t="shared" si="4"/>
        <v>10</v>
      </c>
      <c r="R64" s="88">
        <v>0</v>
      </c>
      <c r="S64" s="48"/>
      <c r="T64" s="48"/>
      <c r="U64" s="48"/>
      <c r="V64" s="48"/>
      <c r="W64" s="1"/>
      <c r="X64" s="264">
        <f t="shared" si="1"/>
        <v>10</v>
      </c>
    </row>
    <row r="65" spans="1:24" ht="15" customHeight="1">
      <c r="A65" s="185">
        <v>38</v>
      </c>
      <c r="B65" s="42">
        <v>62</v>
      </c>
      <c r="C65" s="182" t="s">
        <v>435</v>
      </c>
      <c r="D65" s="183" t="s">
        <v>649</v>
      </c>
      <c r="E65" s="182" t="s">
        <v>3</v>
      </c>
      <c r="F65" s="182">
        <v>0</v>
      </c>
      <c r="G65" s="182">
        <v>0</v>
      </c>
      <c r="H65" s="184">
        <v>20</v>
      </c>
      <c r="I65" s="277">
        <v>0</v>
      </c>
      <c r="J65" s="401"/>
      <c r="K65" s="182">
        <v>0</v>
      </c>
      <c r="L65" s="182">
        <v>0</v>
      </c>
      <c r="M65" s="277">
        <v>0</v>
      </c>
      <c r="N65" s="182">
        <v>0</v>
      </c>
      <c r="O65" s="182"/>
      <c r="P65" s="182"/>
      <c r="Q65" s="264">
        <f t="shared" si="4"/>
        <v>20</v>
      </c>
      <c r="R65" s="88">
        <v>0</v>
      </c>
      <c r="S65" s="186"/>
      <c r="T65" s="186"/>
      <c r="U65" s="186"/>
      <c r="V65" s="186"/>
      <c r="W65" s="187" t="s">
        <v>643</v>
      </c>
      <c r="X65" s="264">
        <f t="shared" si="1"/>
        <v>20</v>
      </c>
    </row>
    <row r="66" spans="1:24" ht="15" customHeight="1">
      <c r="A66" s="42">
        <v>39</v>
      </c>
      <c r="B66" s="42">
        <v>63</v>
      </c>
      <c r="C66" s="47" t="s">
        <v>436</v>
      </c>
      <c r="D66" s="75" t="s">
        <v>402</v>
      </c>
      <c r="E66" s="47" t="s">
        <v>3</v>
      </c>
      <c r="F66" s="42">
        <v>0</v>
      </c>
      <c r="G66" s="42">
        <v>0</v>
      </c>
      <c r="H66" s="77">
        <v>190</v>
      </c>
      <c r="I66" s="255">
        <v>0</v>
      </c>
      <c r="J66" s="401"/>
      <c r="K66" s="42">
        <v>0</v>
      </c>
      <c r="L66" s="42">
        <v>0</v>
      </c>
      <c r="M66" s="172">
        <v>0</v>
      </c>
      <c r="N66" s="42">
        <v>0</v>
      </c>
      <c r="O66" s="42"/>
      <c r="P66" s="42"/>
      <c r="Q66" s="264">
        <f t="shared" si="4"/>
        <v>190</v>
      </c>
      <c r="R66" s="88">
        <v>0</v>
      </c>
      <c r="S66" s="48"/>
      <c r="T66" s="48"/>
      <c r="U66" s="48"/>
      <c r="V66" s="48"/>
      <c r="W66" s="1"/>
      <c r="X66" s="264">
        <f t="shared" si="1"/>
        <v>190</v>
      </c>
    </row>
    <row r="67" spans="1:24" ht="15" customHeight="1">
      <c r="A67" s="14">
        <v>40</v>
      </c>
      <c r="B67" s="42">
        <v>64</v>
      </c>
      <c r="C67" s="47" t="s">
        <v>437</v>
      </c>
      <c r="D67" s="75" t="s">
        <v>404</v>
      </c>
      <c r="E67" s="47" t="s">
        <v>3</v>
      </c>
      <c r="F67" s="42">
        <v>0</v>
      </c>
      <c r="G67" s="42">
        <v>0</v>
      </c>
      <c r="H67" s="77">
        <v>220</v>
      </c>
      <c r="I67" s="255">
        <v>0</v>
      </c>
      <c r="J67" s="401"/>
      <c r="K67" s="42">
        <v>0</v>
      </c>
      <c r="L67" s="42">
        <v>0</v>
      </c>
      <c r="M67" s="172">
        <v>0</v>
      </c>
      <c r="N67" s="42">
        <v>0</v>
      </c>
      <c r="O67" s="42"/>
      <c r="P67" s="42"/>
      <c r="Q67" s="264">
        <f t="shared" si="4"/>
        <v>220</v>
      </c>
      <c r="R67" s="88">
        <v>0</v>
      </c>
      <c r="S67" s="48"/>
      <c r="T67" s="48"/>
      <c r="U67" s="48"/>
      <c r="V67" s="48"/>
      <c r="W67" s="1"/>
      <c r="X67" s="264">
        <f t="shared" si="1"/>
        <v>220</v>
      </c>
    </row>
    <row r="68" spans="1:24" ht="15" customHeight="1">
      <c r="A68" s="14">
        <v>1</v>
      </c>
      <c r="B68" s="42">
        <v>66</v>
      </c>
      <c r="C68" s="47" t="s">
        <v>422</v>
      </c>
      <c r="D68" s="76" t="s">
        <v>439</v>
      </c>
      <c r="E68" s="47" t="s">
        <v>3</v>
      </c>
      <c r="F68" s="42">
        <v>0</v>
      </c>
      <c r="G68" s="42">
        <v>0</v>
      </c>
      <c r="H68" s="42">
        <v>0</v>
      </c>
      <c r="I68" s="255">
        <v>13</v>
      </c>
      <c r="J68" s="402"/>
      <c r="K68" s="42">
        <v>0</v>
      </c>
      <c r="L68" s="42">
        <v>0</v>
      </c>
      <c r="M68" s="172">
        <v>0</v>
      </c>
      <c r="N68" s="42">
        <v>0</v>
      </c>
      <c r="O68" s="42"/>
      <c r="P68" s="42"/>
      <c r="Q68" s="264">
        <f t="shared" si="4"/>
        <v>13</v>
      </c>
      <c r="R68" s="88">
        <v>0</v>
      </c>
      <c r="S68" s="14"/>
      <c r="T68" s="14"/>
      <c r="U68" s="14"/>
      <c r="V68" s="14"/>
      <c r="W68" s="1"/>
      <c r="X68" s="264">
        <f t="shared" si="1"/>
        <v>13</v>
      </c>
    </row>
    <row r="69" spans="1:24">
      <c r="A69" s="1"/>
      <c r="B69" s="42">
        <v>67.3333333333333</v>
      </c>
      <c r="C69" s="377" t="s">
        <v>877</v>
      </c>
      <c r="D69" s="75" t="s">
        <v>878</v>
      </c>
      <c r="E69" s="1"/>
      <c r="F69" s="1"/>
      <c r="G69" s="1"/>
      <c r="H69" s="1"/>
      <c r="I69" s="1"/>
      <c r="J69" s="1"/>
      <c r="K69" s="1"/>
      <c r="L69" s="1"/>
      <c r="N69" s="1"/>
      <c r="O69" s="1"/>
      <c r="P69" s="1"/>
      <c r="Q69" s="292"/>
      <c r="R69" s="1"/>
      <c r="S69" s="1"/>
      <c r="T69" s="1"/>
      <c r="U69" s="1"/>
      <c r="V69" s="1"/>
      <c r="W69" s="1"/>
      <c r="X69" s="106">
        <v>4</v>
      </c>
    </row>
    <row r="70" spans="1:24">
      <c r="A70" s="1"/>
      <c r="B70" s="42">
        <v>68.8333333333333</v>
      </c>
      <c r="C70" s="363"/>
      <c r="D70" s="75" t="s">
        <v>879</v>
      </c>
      <c r="E70" s="1"/>
      <c r="F70" s="1"/>
      <c r="G70" s="1"/>
      <c r="H70" s="1"/>
      <c r="I70" s="1"/>
      <c r="J70" s="1"/>
      <c r="K70" s="1"/>
      <c r="L70" s="1"/>
      <c r="N70" s="1"/>
      <c r="O70" s="1"/>
      <c r="P70" s="1"/>
      <c r="Q70" s="292"/>
      <c r="R70" s="1"/>
      <c r="S70" s="1"/>
      <c r="T70" s="1"/>
      <c r="U70" s="1"/>
      <c r="V70" s="1"/>
      <c r="W70" s="1"/>
      <c r="X70" s="106" t="s">
        <v>885</v>
      </c>
    </row>
    <row r="71" spans="1:24">
      <c r="A71" s="1"/>
      <c r="B71" s="42">
        <v>70.3333333333333</v>
      </c>
      <c r="C71" s="363"/>
      <c r="D71" s="75" t="s">
        <v>880</v>
      </c>
      <c r="E71" s="1"/>
      <c r="F71" s="1"/>
      <c r="G71" s="1"/>
      <c r="H71" s="1"/>
      <c r="I71" s="1"/>
      <c r="J71" s="1"/>
      <c r="K71" s="1"/>
      <c r="L71" s="1"/>
      <c r="N71" s="1"/>
      <c r="O71" s="1"/>
      <c r="P71" s="1"/>
      <c r="Q71" s="292"/>
      <c r="R71" s="1"/>
      <c r="S71" s="1"/>
      <c r="T71" s="1"/>
      <c r="U71" s="1"/>
      <c r="V71" s="1"/>
      <c r="W71" s="1"/>
      <c r="X71" s="106">
        <v>4</v>
      </c>
    </row>
    <row r="72" spans="1:24">
      <c r="A72" s="1"/>
      <c r="B72" s="42">
        <v>71.8333333333333</v>
      </c>
      <c r="C72" s="363"/>
      <c r="D72" s="75" t="s">
        <v>881</v>
      </c>
      <c r="E72" s="1"/>
      <c r="F72" s="1"/>
      <c r="G72" s="1"/>
      <c r="H72" s="1"/>
      <c r="I72" s="1"/>
      <c r="J72" s="1"/>
      <c r="K72" s="1"/>
      <c r="L72" s="1"/>
      <c r="N72" s="1"/>
      <c r="O72" s="1"/>
      <c r="P72" s="1"/>
      <c r="Q72" s="292"/>
      <c r="R72" s="1"/>
      <c r="S72" s="1"/>
      <c r="T72" s="1"/>
      <c r="U72" s="1"/>
      <c r="V72" s="1"/>
      <c r="W72" s="1"/>
      <c r="X72" s="106" t="s">
        <v>886</v>
      </c>
    </row>
    <row r="73" spans="1:24">
      <c r="A73" s="1"/>
      <c r="B73" s="42">
        <v>73.3333333333333</v>
      </c>
      <c r="C73" s="363"/>
      <c r="D73" s="75" t="s">
        <v>882</v>
      </c>
      <c r="E73" s="1"/>
      <c r="F73" s="1"/>
      <c r="G73" s="1"/>
      <c r="H73" s="1"/>
      <c r="I73" s="1"/>
      <c r="J73" s="1"/>
      <c r="K73" s="1"/>
      <c r="L73" s="1"/>
      <c r="N73" s="1"/>
      <c r="O73" s="1"/>
      <c r="P73" s="1"/>
      <c r="Q73" s="292"/>
      <c r="R73" s="1"/>
      <c r="S73" s="1"/>
      <c r="T73" s="1"/>
      <c r="U73" s="1"/>
      <c r="V73" s="1"/>
      <c r="W73" s="1"/>
      <c r="X73" s="106">
        <v>2</v>
      </c>
    </row>
    <row r="74" spans="1:24">
      <c r="A74" s="1"/>
      <c r="B74" s="42">
        <v>74.8333333333333</v>
      </c>
      <c r="C74" s="363"/>
      <c r="D74" s="75" t="s">
        <v>883</v>
      </c>
      <c r="E74" s="1"/>
      <c r="F74" s="1"/>
      <c r="G74" s="1"/>
      <c r="H74" s="1"/>
      <c r="I74" s="1"/>
      <c r="J74" s="1"/>
      <c r="K74" s="1"/>
      <c r="L74" s="1"/>
      <c r="N74" s="1"/>
      <c r="O74" s="1"/>
      <c r="P74" s="1"/>
      <c r="Q74" s="292"/>
      <c r="R74" s="1"/>
      <c r="S74" s="1"/>
      <c r="T74" s="1"/>
      <c r="U74" s="1"/>
      <c r="V74" s="1"/>
      <c r="W74" s="1"/>
      <c r="X74" s="106">
        <v>4</v>
      </c>
    </row>
    <row r="75" spans="1:24">
      <c r="A75" s="1"/>
      <c r="B75" s="42">
        <v>76.3333333333333</v>
      </c>
      <c r="C75" s="364"/>
      <c r="D75" s="75" t="s">
        <v>884</v>
      </c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1"/>
      <c r="Q75" s="292"/>
      <c r="R75" s="1"/>
      <c r="S75" s="1"/>
      <c r="T75" s="1"/>
      <c r="U75" s="1"/>
      <c r="V75" s="1"/>
      <c r="W75" s="1"/>
      <c r="X75" s="106" t="s">
        <v>887</v>
      </c>
    </row>
    <row r="76" spans="1:24">
      <c r="B76" s="291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</row>
    <row r="77" spans="1:24">
      <c r="B77" s="291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</row>
    <row r="78" spans="1:24">
      <c r="B78" s="291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</row>
    <row r="79" spans="1:24">
      <c r="B79" s="291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</row>
    <row r="80" spans="1:24">
      <c r="B80" s="291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</row>
    <row r="81" spans="2:15">
      <c r="B81" s="291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</row>
    <row r="82" spans="2:15">
      <c r="B82" s="291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</row>
    <row r="83" spans="2:15">
      <c r="B83" s="291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</row>
    <row r="84" spans="2:15"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</row>
    <row r="85" spans="2:15"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</row>
    <row r="86" spans="2:15"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</row>
    <row r="87" spans="2:15"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</row>
    <row r="88" spans="2:15"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</row>
    <row r="89" spans="2:15"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</row>
    <row r="90" spans="2:15"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</row>
    <row r="91" spans="2:15"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</row>
    <row r="92" spans="2:15"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</row>
    <row r="93" spans="2:15"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</row>
    <row r="94" spans="2:15"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</row>
    <row r="95" spans="2:15"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</row>
    <row r="96" spans="2:15"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</row>
    <row r="97" spans="5:15"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</row>
    <row r="98" spans="5:15"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</row>
    <row r="99" spans="5:15"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</row>
    <row r="100" spans="5:15"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</row>
    <row r="101" spans="5:15"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</row>
    <row r="102" spans="5:15"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</row>
    <row r="103" spans="5:15"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</row>
    <row r="104" spans="5:15"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</row>
    <row r="105" spans="5:15"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</row>
    <row r="106" spans="5:15"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</row>
    <row r="107" spans="5:15"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</row>
    <row r="108" spans="5:15"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</row>
    <row r="109" spans="5:15"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</row>
    <row r="110" spans="5:15"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</row>
    <row r="111" spans="5:15"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</row>
    <row r="112" spans="5:15"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</row>
    <row r="113" spans="5:15"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</row>
    <row r="114" spans="5:15"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</row>
    <row r="115" spans="5:15"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</row>
    <row r="116" spans="5:15"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</row>
    <row r="117" spans="5:15"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</row>
    <row r="118" spans="5:15"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</row>
    <row r="119" spans="5:15"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</row>
    <row r="120" spans="5:15"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</row>
    <row r="121" spans="5:15"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</row>
    <row r="122" spans="5:15"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</row>
    <row r="123" spans="5:15"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</row>
    <row r="124" spans="5:15"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</row>
    <row r="125" spans="5:15"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</row>
    <row r="126" spans="5:15"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</row>
    <row r="127" spans="5:15"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</row>
    <row r="128" spans="5:15"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</row>
    <row r="129" spans="5:15"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</row>
    <row r="130" spans="5:15"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</row>
    <row r="131" spans="5:15"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</row>
    <row r="132" spans="5:15"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</row>
    <row r="133" spans="5:15"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</row>
    <row r="134" spans="5:15"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</row>
    <row r="135" spans="5:15"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</row>
    <row r="136" spans="5:15"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</row>
    <row r="137" spans="5:15"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</row>
    <row r="138" spans="5:15"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</row>
    <row r="139" spans="5:15"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</row>
    <row r="140" spans="5:15"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</row>
    <row r="141" spans="5:15"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</row>
    <row r="142" spans="5:15"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</row>
    <row r="143" spans="5:15"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</row>
    <row r="144" spans="5:15"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</row>
    <row r="145" spans="5:15"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</row>
    <row r="146" spans="5:15"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</row>
    <row r="147" spans="5:15"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</row>
    <row r="148" spans="5:15"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</row>
    <row r="149" spans="5:15"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</row>
    <row r="150" spans="5:15"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</row>
    <row r="151" spans="5:15"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</row>
    <row r="152" spans="5:15"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</row>
    <row r="153" spans="5:15"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</row>
    <row r="154" spans="5:15"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</row>
    <row r="155" spans="5:15"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</row>
    <row r="156" spans="5:15"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</row>
    <row r="157" spans="5:15"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</row>
    <row r="158" spans="5:15"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</row>
    <row r="159" spans="5:15"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</row>
    <row r="160" spans="5:15"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</row>
    <row r="161" spans="5:15"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</row>
    <row r="162" spans="5:15"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</row>
    <row r="163" spans="5:15"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</row>
    <row r="164" spans="5:15"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</row>
    <row r="165" spans="5:15"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</row>
    <row r="166" spans="5:15"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</row>
    <row r="167" spans="5:15"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</row>
    <row r="168" spans="5:15"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</row>
    <row r="169" spans="5:15"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</row>
    <row r="170" spans="5:15"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</row>
    <row r="171" spans="5:15"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</row>
    <row r="172" spans="5:15"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</row>
    <row r="173" spans="5:15"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</row>
    <row r="174" spans="5:15"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</row>
    <row r="175" spans="5:15"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</row>
    <row r="176" spans="5:15"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</row>
    <row r="177" spans="5:15"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</row>
    <row r="178" spans="5:15"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</row>
    <row r="179" spans="5:15"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</row>
    <row r="180" spans="5:15"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</row>
    <row r="181" spans="5:15"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</row>
    <row r="182" spans="5:15"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</row>
    <row r="183" spans="5:15"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</row>
    <row r="184" spans="5:15"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</row>
    <row r="185" spans="5:15"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</row>
    <row r="186" spans="5:15"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</row>
    <row r="187" spans="5:15"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</row>
    <row r="188" spans="5:15"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</row>
    <row r="189" spans="5:15"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</row>
    <row r="190" spans="5:15"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</row>
    <row r="191" spans="5:15"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</row>
    <row r="192" spans="5:15"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</row>
    <row r="193" spans="5:15"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</row>
    <row r="194" spans="5:15"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</row>
    <row r="195" spans="5:15"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</row>
    <row r="196" spans="5:15"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</row>
    <row r="197" spans="5:15"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</row>
    <row r="198" spans="5:15"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</row>
    <row r="199" spans="5:15"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</row>
    <row r="200" spans="5:15"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</row>
    <row r="201" spans="5:15"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</row>
    <row r="202" spans="5:15"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</row>
    <row r="203" spans="5:15"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</row>
    <row r="204" spans="5:15"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</row>
    <row r="205" spans="5:15"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</row>
    <row r="206" spans="5:15"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</row>
    <row r="207" spans="5:15"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</row>
    <row r="208" spans="5:15"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</row>
    <row r="209" spans="5:15"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</row>
    <row r="210" spans="5:15"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</row>
    <row r="211" spans="5:15"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</row>
    <row r="212" spans="5:15"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</row>
    <row r="213" spans="5:15"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</row>
    <row r="214" spans="5:15"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</row>
    <row r="215" spans="5:15"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</row>
    <row r="216" spans="5:15"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</row>
    <row r="217" spans="5:15"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</row>
    <row r="218" spans="5:15"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</row>
    <row r="219" spans="5:15"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</row>
    <row r="220" spans="5:15"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</row>
    <row r="221" spans="5:15"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</row>
    <row r="222" spans="5:15"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</row>
    <row r="223" spans="5:15"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</row>
    <row r="224" spans="5:15"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</row>
    <row r="225" spans="5:15"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</row>
    <row r="226" spans="5:15"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</row>
    <row r="227" spans="5:15"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</row>
    <row r="228" spans="5:15"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</row>
  </sheetData>
  <autoFilter ref="A1:U68" xr:uid="{00000000-0009-0000-0000-000007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hiddenButton="1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</autoFilter>
  <dataConsolidate/>
  <mergeCells count="20">
    <mergeCell ref="A1:W1"/>
    <mergeCell ref="S2:S3"/>
    <mergeCell ref="T2:T3"/>
    <mergeCell ref="W2:W3"/>
    <mergeCell ref="Q2:Q3"/>
    <mergeCell ref="R2:R3"/>
    <mergeCell ref="B2:B3"/>
    <mergeCell ref="C2:C3"/>
    <mergeCell ref="D2:D3"/>
    <mergeCell ref="E2:E3"/>
    <mergeCell ref="N2:N3"/>
    <mergeCell ref="J2:J68"/>
    <mergeCell ref="K2:M2"/>
    <mergeCell ref="V2:V3"/>
    <mergeCell ref="O2:O3"/>
    <mergeCell ref="P2:P3"/>
    <mergeCell ref="A2:A3"/>
    <mergeCell ref="F2:I2"/>
    <mergeCell ref="X2:X3"/>
    <mergeCell ref="C69:C75"/>
  </mergeCells>
  <phoneticPr fontId="23" type="noConversion"/>
  <pageMargins left="0.7" right="0.7" top="0.75" bottom="0.75" header="0.3" footer="0.3"/>
  <pageSetup paperSize="9" fitToWidth="0" orientation="portrait" verticalDpi="30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10"/>
  <sheetViews>
    <sheetView workbookViewId="0">
      <pane ySplit="3" topLeftCell="A4" activePane="bottomLeft" state="frozen"/>
      <selection pane="bottomLeft" activeCell="T10" sqref="T10"/>
    </sheetView>
  </sheetViews>
  <sheetFormatPr defaultRowHeight="15.75"/>
  <cols>
    <col min="1" max="1" width="9.140625" style="98"/>
    <col min="2" max="2" width="7.7109375" style="98" bestFit="1" customWidth="1"/>
    <col min="3" max="3" width="15.140625" style="98" bestFit="1" customWidth="1"/>
    <col min="4" max="4" width="35" style="98" customWidth="1"/>
    <col min="5" max="5" width="7.85546875" style="98" customWidth="1"/>
    <col min="6" max="6" width="13.28515625" style="98" customWidth="1"/>
    <col min="7" max="7" width="9.5703125" style="98" hidden="1" customWidth="1"/>
    <col min="8" max="8" width="14.28515625" hidden="1" customWidth="1"/>
    <col min="9" max="9" width="12.42578125" hidden="1" customWidth="1"/>
    <col min="10" max="10" width="12.85546875" customWidth="1"/>
    <col min="11" max="11" width="10.140625" style="52" hidden="1" customWidth="1"/>
    <col min="12" max="12" width="15.5703125" hidden="1" customWidth="1"/>
    <col min="13" max="13" width="14.42578125" hidden="1" customWidth="1"/>
    <col min="14" max="14" width="14.85546875" hidden="1" customWidth="1"/>
    <col min="15" max="15" width="12.7109375" hidden="1" customWidth="1"/>
    <col min="16" max="16" width="7.42578125" hidden="1" customWidth="1"/>
    <col min="17" max="17" width="17.5703125" style="98" hidden="1" customWidth="1"/>
    <col min="18" max="18" width="13.140625" style="98" customWidth="1"/>
    <col min="19" max="16384" width="9.140625" style="98"/>
  </cols>
  <sheetData>
    <row r="1" spans="1:18" ht="30.75" customHeight="1">
      <c r="A1" s="406" t="s">
        <v>790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7"/>
    </row>
    <row r="2" spans="1:18" s="159" customFormat="1" ht="34.5" customHeight="1">
      <c r="A2" s="369" t="s">
        <v>583</v>
      </c>
      <c r="B2" s="370" t="s">
        <v>0</v>
      </c>
      <c r="C2" s="370" t="s">
        <v>21</v>
      </c>
      <c r="D2" s="370" t="s">
        <v>1</v>
      </c>
      <c r="E2" s="370" t="s">
        <v>2</v>
      </c>
      <c r="F2" s="203" t="s">
        <v>575</v>
      </c>
      <c r="G2" s="370" t="s">
        <v>444</v>
      </c>
      <c r="H2" s="370" t="s">
        <v>527</v>
      </c>
      <c r="I2" s="370" t="s">
        <v>528</v>
      </c>
      <c r="J2" s="371" t="s">
        <v>791</v>
      </c>
      <c r="K2" s="371" t="s">
        <v>450</v>
      </c>
      <c r="L2" s="372" t="s">
        <v>568</v>
      </c>
      <c r="M2" s="372" t="s">
        <v>531</v>
      </c>
      <c r="N2" s="373" t="s">
        <v>523</v>
      </c>
      <c r="O2" s="202" t="s">
        <v>529</v>
      </c>
      <c r="P2" s="373" t="s">
        <v>656</v>
      </c>
      <c r="Q2" s="367" t="s">
        <v>171</v>
      </c>
      <c r="R2" s="362" t="s">
        <v>866</v>
      </c>
    </row>
    <row r="3" spans="1:18" s="160" customFormat="1" ht="28.5" customHeight="1">
      <c r="A3" s="369"/>
      <c r="B3" s="370"/>
      <c r="C3" s="370"/>
      <c r="D3" s="370"/>
      <c r="E3" s="370"/>
      <c r="F3" s="204" t="s">
        <v>576</v>
      </c>
      <c r="G3" s="370"/>
      <c r="H3" s="370"/>
      <c r="I3" s="370"/>
      <c r="J3" s="371"/>
      <c r="K3" s="371"/>
      <c r="L3" s="372"/>
      <c r="M3" s="372"/>
      <c r="N3" s="374"/>
      <c r="O3" s="202" t="s">
        <v>655</v>
      </c>
      <c r="P3" s="374"/>
      <c r="Q3" s="367"/>
      <c r="R3" s="362"/>
    </row>
    <row r="4" spans="1:18">
      <c r="A4" s="134"/>
      <c r="B4" s="42">
        <v>1</v>
      </c>
      <c r="C4" s="42" t="s">
        <v>173</v>
      </c>
      <c r="D4" s="100" t="s">
        <v>174</v>
      </c>
      <c r="E4" s="42" t="s">
        <v>5</v>
      </c>
      <c r="F4" s="46">
        <v>1</v>
      </c>
      <c r="G4" s="46">
        <v>0</v>
      </c>
      <c r="H4" s="102"/>
      <c r="I4" s="102"/>
      <c r="J4" s="103">
        <f>F4-G4</f>
        <v>1</v>
      </c>
      <c r="K4" s="166">
        <v>0</v>
      </c>
      <c r="L4" s="102"/>
      <c r="M4" s="102"/>
      <c r="N4" s="102"/>
      <c r="O4" s="99"/>
      <c r="P4" s="99"/>
      <c r="Q4" s="49"/>
      <c r="R4" s="103">
        <v>1</v>
      </c>
    </row>
    <row r="5" spans="1:18">
      <c r="A5" s="134"/>
      <c r="B5" s="42">
        <v>2</v>
      </c>
      <c r="C5" s="42" t="s">
        <v>175</v>
      </c>
      <c r="D5" s="100" t="s">
        <v>179</v>
      </c>
      <c r="E5" s="42" t="s">
        <v>3</v>
      </c>
      <c r="F5" s="46">
        <v>2</v>
      </c>
      <c r="G5" s="46">
        <v>0</v>
      </c>
      <c r="H5" s="42"/>
      <c r="I5" s="42"/>
      <c r="J5" s="103">
        <f t="shared" ref="J5:J10" si="0">F5-G5</f>
        <v>2</v>
      </c>
      <c r="K5" s="166">
        <v>0</v>
      </c>
      <c r="L5" s="37"/>
      <c r="M5" s="37"/>
      <c r="N5" s="37"/>
      <c r="O5" s="37"/>
      <c r="P5" s="37"/>
      <c r="Q5" s="49"/>
      <c r="R5" s="103">
        <v>2</v>
      </c>
    </row>
    <row r="6" spans="1:18">
      <c r="A6" s="134"/>
      <c r="B6" s="42">
        <v>3</v>
      </c>
      <c r="C6" s="42" t="s">
        <v>176</v>
      </c>
      <c r="D6" s="100" t="s">
        <v>180</v>
      </c>
      <c r="E6" s="42" t="s">
        <v>3</v>
      </c>
      <c r="F6" s="46">
        <v>1</v>
      </c>
      <c r="G6" s="46">
        <v>0</v>
      </c>
      <c r="H6" s="42"/>
      <c r="I6" s="42"/>
      <c r="J6" s="103">
        <f t="shared" si="0"/>
        <v>1</v>
      </c>
      <c r="K6" s="166">
        <v>0</v>
      </c>
      <c r="L6" s="37"/>
      <c r="M6" s="37"/>
      <c r="N6" s="37"/>
      <c r="O6" s="37"/>
      <c r="P6" s="37"/>
      <c r="Q6" s="49"/>
      <c r="R6" s="103">
        <v>1</v>
      </c>
    </row>
    <row r="7" spans="1:18">
      <c r="A7" s="134"/>
      <c r="B7" s="42">
        <v>4</v>
      </c>
      <c r="C7" s="42" t="s">
        <v>177</v>
      </c>
      <c r="D7" s="100" t="s">
        <v>181</v>
      </c>
      <c r="E7" s="42" t="s">
        <v>3</v>
      </c>
      <c r="F7" s="46">
        <v>1</v>
      </c>
      <c r="G7" s="46">
        <v>0</v>
      </c>
      <c r="H7" s="42"/>
      <c r="I7" s="42"/>
      <c r="J7" s="103">
        <f t="shared" si="0"/>
        <v>1</v>
      </c>
      <c r="K7" s="166">
        <v>0</v>
      </c>
      <c r="L7" s="37"/>
      <c r="M7" s="37"/>
      <c r="N7" s="37"/>
      <c r="O7" s="37"/>
      <c r="P7" s="37"/>
      <c r="Q7" s="49"/>
      <c r="R7" s="103">
        <v>1</v>
      </c>
    </row>
    <row r="8" spans="1:18">
      <c r="A8" s="134"/>
      <c r="B8" s="42">
        <v>5</v>
      </c>
      <c r="C8" s="42" t="s">
        <v>178</v>
      </c>
      <c r="D8" s="100" t="s">
        <v>182</v>
      </c>
      <c r="E8" s="42" t="s">
        <v>3</v>
      </c>
      <c r="F8" s="46">
        <v>1</v>
      </c>
      <c r="G8" s="46">
        <v>0</v>
      </c>
      <c r="H8" s="42"/>
      <c r="I8" s="42"/>
      <c r="J8" s="103">
        <f t="shared" si="0"/>
        <v>1</v>
      </c>
      <c r="K8" s="166">
        <v>0</v>
      </c>
      <c r="L8" s="37"/>
      <c r="M8" s="37"/>
      <c r="N8" s="37"/>
      <c r="O8" s="37"/>
      <c r="P8" s="37"/>
      <c r="Q8" s="49"/>
      <c r="R8" s="103">
        <v>1</v>
      </c>
    </row>
    <row r="9" spans="1:18">
      <c r="A9" s="134"/>
      <c r="B9" s="42">
        <v>6</v>
      </c>
      <c r="C9" s="42" t="s">
        <v>183</v>
      </c>
      <c r="D9" s="100" t="s">
        <v>184</v>
      </c>
      <c r="E9" s="42" t="s">
        <v>3</v>
      </c>
      <c r="F9" s="46">
        <v>1</v>
      </c>
      <c r="G9" s="46">
        <v>0</v>
      </c>
      <c r="H9" s="42"/>
      <c r="I9" s="42"/>
      <c r="J9" s="103">
        <f t="shared" si="0"/>
        <v>1</v>
      </c>
      <c r="K9" s="166">
        <v>0</v>
      </c>
      <c r="L9" s="37"/>
      <c r="M9" s="37"/>
      <c r="N9" s="37"/>
      <c r="O9" s="37"/>
      <c r="P9" s="37"/>
      <c r="Q9" s="49"/>
      <c r="R9" s="103">
        <v>1</v>
      </c>
    </row>
    <row r="10" spans="1:18">
      <c r="A10" s="134"/>
      <c r="B10" s="42">
        <v>7</v>
      </c>
      <c r="C10" s="42" t="s">
        <v>185</v>
      </c>
      <c r="D10" s="100" t="s">
        <v>186</v>
      </c>
      <c r="E10" s="42" t="s">
        <v>3</v>
      </c>
      <c r="F10" s="46">
        <v>1</v>
      </c>
      <c r="G10" s="46">
        <v>0</v>
      </c>
      <c r="H10" s="42"/>
      <c r="I10" s="42"/>
      <c r="J10" s="103">
        <f t="shared" si="0"/>
        <v>1</v>
      </c>
      <c r="K10" s="166">
        <v>0</v>
      </c>
      <c r="L10" s="37"/>
      <c r="M10" s="37"/>
      <c r="N10" s="37"/>
      <c r="O10" s="37"/>
      <c r="P10" s="37"/>
      <c r="Q10" s="49"/>
      <c r="R10" s="103">
        <v>1</v>
      </c>
    </row>
  </sheetData>
  <mergeCells count="17">
    <mergeCell ref="R2:R3"/>
    <mergeCell ref="M2:M3"/>
    <mergeCell ref="A1:Q1"/>
    <mergeCell ref="A2:A3"/>
    <mergeCell ref="N2:N3"/>
    <mergeCell ref="Q2:Q3"/>
    <mergeCell ref="G2:G3"/>
    <mergeCell ref="B2:B3"/>
    <mergeCell ref="C2:C3"/>
    <mergeCell ref="D2:D3"/>
    <mergeCell ref="E2:E3"/>
    <mergeCell ref="H2:H3"/>
    <mergeCell ref="I2:I3"/>
    <mergeCell ref="J2:J3"/>
    <mergeCell ref="K2:K3"/>
    <mergeCell ref="L2:L3"/>
    <mergeCell ref="P2:P3"/>
  </mergeCells>
  <pageMargins left="0.7" right="0.7" top="0.75" bottom="0.75" header="0.3" footer="0.3"/>
  <pageSetup paperSize="9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D125"/>
  <sheetViews>
    <sheetView tabSelected="1" topLeftCell="B1" zoomScale="70" zoomScaleNormal="70" workbookViewId="0">
      <pane ySplit="3" topLeftCell="A77" activePane="bottomLeft" state="frozen"/>
      <selection pane="bottomLeft" activeCell="AE92" sqref="AE92"/>
    </sheetView>
  </sheetViews>
  <sheetFormatPr defaultRowHeight="16.5" customHeight="1"/>
  <cols>
    <col min="1" max="1" width="8.28515625" style="49" hidden="1" customWidth="1"/>
    <col min="2" max="2" width="6.85546875" style="85" customWidth="1"/>
    <col min="3" max="3" width="17.85546875" style="35" customWidth="1"/>
    <col min="4" max="4" width="41.140625" style="35" customWidth="1"/>
    <col min="5" max="5" width="6.140625" style="85" bestFit="1" customWidth="1"/>
    <col min="6" max="6" width="11.28515625" style="126" customWidth="1"/>
    <col min="7" max="10" width="9" style="35" hidden="1" customWidth="1"/>
    <col min="11" max="11" width="9" style="85" hidden="1" customWidth="1"/>
    <col min="12" max="12" width="1.42578125" style="35" hidden="1" customWidth="1"/>
    <col min="13" max="13" width="9.140625" style="35" hidden="1" customWidth="1"/>
    <col min="14" max="17" width="9" style="35" hidden="1" customWidth="1"/>
    <col min="18" max="18" width="11.5703125" style="35" hidden="1" customWidth="1"/>
    <col min="19" max="19" width="16.42578125" style="35" hidden="1" customWidth="1"/>
    <col min="20" max="20" width="11.5703125" style="35" hidden="1" customWidth="1"/>
    <col min="21" max="21" width="9.42578125" style="224" customWidth="1"/>
    <col min="22" max="22" width="10.7109375" style="85" hidden="1" customWidth="1"/>
    <col min="23" max="23" width="13.140625" style="35" hidden="1" customWidth="1"/>
    <col min="24" max="24" width="13.85546875" style="35" hidden="1" customWidth="1"/>
    <col min="25" max="25" width="15.140625" style="35" hidden="1" customWidth="1"/>
    <col min="26" max="26" width="20.42578125" style="35" hidden="1" customWidth="1"/>
    <col min="27" max="27" width="0" style="85" hidden="1" customWidth="1"/>
    <col min="28" max="28" width="12.42578125" style="49" hidden="1" customWidth="1"/>
    <col min="29" max="29" width="33" style="293" customWidth="1"/>
    <col min="30" max="16384" width="9.140625" style="35"/>
  </cols>
  <sheetData>
    <row r="1" spans="1:31" ht="29.25" customHeight="1">
      <c r="A1" s="315" t="s">
        <v>788</v>
      </c>
      <c r="B1" s="315"/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315"/>
      <c r="N1" s="315"/>
      <c r="O1" s="315"/>
      <c r="P1" s="315"/>
      <c r="Q1" s="315"/>
      <c r="R1" s="315"/>
      <c r="S1" s="315"/>
      <c r="T1" s="315"/>
      <c r="U1" s="315"/>
      <c r="V1" s="315"/>
      <c r="W1" s="315"/>
      <c r="X1" s="315"/>
      <c r="Y1" s="315"/>
      <c r="Z1" s="315"/>
      <c r="AA1" s="315"/>
      <c r="AB1" s="415" t="s">
        <v>782</v>
      </c>
    </row>
    <row r="2" spans="1:31" s="84" customFormat="1" ht="30.75" customHeight="1">
      <c r="A2" s="423" t="s">
        <v>582</v>
      </c>
      <c r="B2" s="427" t="s">
        <v>257</v>
      </c>
      <c r="C2" s="408" t="s">
        <v>21</v>
      </c>
      <c r="D2" s="428" t="s">
        <v>1</v>
      </c>
      <c r="E2" s="408" t="s">
        <v>2</v>
      </c>
      <c r="F2" s="410" t="s">
        <v>443</v>
      </c>
      <c r="G2" s="416" t="s">
        <v>6</v>
      </c>
      <c r="H2" s="417"/>
      <c r="I2" s="417"/>
      <c r="J2" s="417"/>
      <c r="K2" s="417"/>
      <c r="L2" s="149"/>
      <c r="M2" s="412" t="s">
        <v>611</v>
      </c>
      <c r="N2" s="413"/>
      <c r="O2" s="413"/>
      <c r="P2" s="414"/>
      <c r="Q2" s="231"/>
      <c r="R2" s="426" t="s">
        <v>444</v>
      </c>
      <c r="S2" s="322" t="s">
        <v>532</v>
      </c>
      <c r="T2" s="322" t="s">
        <v>533</v>
      </c>
      <c r="U2" s="424" t="s">
        <v>791</v>
      </c>
      <c r="V2" s="425" t="s">
        <v>647</v>
      </c>
      <c r="W2" s="322" t="s">
        <v>568</v>
      </c>
      <c r="X2" s="322" t="s">
        <v>531</v>
      </c>
      <c r="Y2" s="409" t="s">
        <v>523</v>
      </c>
      <c r="Z2" s="207" t="s">
        <v>529</v>
      </c>
      <c r="AA2" s="421" t="s">
        <v>656</v>
      </c>
      <c r="AB2" s="415"/>
      <c r="AC2" s="376" t="s">
        <v>866</v>
      </c>
    </row>
    <row r="3" spans="1:31" s="84" customFormat="1" ht="24" customHeight="1">
      <c r="A3" s="423"/>
      <c r="B3" s="427"/>
      <c r="C3" s="408"/>
      <c r="D3" s="428"/>
      <c r="E3" s="408"/>
      <c r="F3" s="411"/>
      <c r="G3" s="207" t="s">
        <v>442</v>
      </c>
      <c r="H3" s="207" t="s">
        <v>276</v>
      </c>
      <c r="I3" s="207" t="s">
        <v>445</v>
      </c>
      <c r="J3" s="207" t="s">
        <v>608</v>
      </c>
      <c r="K3" s="230" t="s">
        <v>709</v>
      </c>
      <c r="L3" s="418"/>
      <c r="M3" s="208" t="s">
        <v>445</v>
      </c>
      <c r="N3" s="208" t="s">
        <v>580</v>
      </c>
      <c r="O3" s="208" t="s">
        <v>689</v>
      </c>
      <c r="P3" s="208" t="s">
        <v>696</v>
      </c>
      <c r="Q3" s="208" t="s">
        <v>709</v>
      </c>
      <c r="R3" s="426"/>
      <c r="S3" s="323"/>
      <c r="T3" s="323"/>
      <c r="U3" s="424"/>
      <c r="V3" s="425"/>
      <c r="W3" s="323"/>
      <c r="X3" s="323"/>
      <c r="Y3" s="409"/>
      <c r="Z3" s="207" t="s">
        <v>655</v>
      </c>
      <c r="AA3" s="422"/>
      <c r="AB3" s="415"/>
      <c r="AC3" s="376"/>
    </row>
    <row r="4" spans="1:31" s="54" customFormat="1" ht="16.5" customHeight="1">
      <c r="A4" s="138"/>
      <c r="B4" s="136">
        <v>1</v>
      </c>
      <c r="C4" s="57" t="s">
        <v>441</v>
      </c>
      <c r="D4" s="58" t="s">
        <v>440</v>
      </c>
      <c r="E4" s="53" t="s">
        <v>519</v>
      </c>
      <c r="F4" s="118">
        <v>1</v>
      </c>
      <c r="G4" s="67">
        <v>1</v>
      </c>
      <c r="H4" s="67">
        <v>0</v>
      </c>
      <c r="I4" s="67">
        <v>0</v>
      </c>
      <c r="J4" s="67">
        <v>0</v>
      </c>
      <c r="K4" s="67">
        <v>0</v>
      </c>
      <c r="L4" s="419"/>
      <c r="M4" s="67">
        <v>0</v>
      </c>
      <c r="N4" s="67">
        <v>0</v>
      </c>
      <c r="O4" s="67">
        <v>0</v>
      </c>
      <c r="P4" s="67">
        <v>0</v>
      </c>
      <c r="Q4" s="67">
        <v>0</v>
      </c>
      <c r="R4" s="53">
        <v>0</v>
      </c>
      <c r="S4" s="53"/>
      <c r="T4" s="53"/>
      <c r="U4" s="223">
        <f t="shared" ref="U4:U15" si="0">G4+H4+I4-R4</f>
        <v>1</v>
      </c>
      <c r="V4" s="53">
        <f t="shared" ref="V4:V45" si="1">F4-U4</f>
        <v>0</v>
      </c>
      <c r="W4" s="46"/>
      <c r="X4" s="46"/>
      <c r="Y4" s="46" t="s">
        <v>594</v>
      </c>
      <c r="Z4" s="46"/>
      <c r="AA4" s="251"/>
      <c r="AB4" s="138"/>
      <c r="AC4" s="67">
        <v>1</v>
      </c>
    </row>
    <row r="5" spans="1:31" s="54" customFormat="1" ht="16.5" customHeight="1">
      <c r="A5" s="138"/>
      <c r="B5" s="136">
        <v>2</v>
      </c>
      <c r="C5" s="58" t="s">
        <v>224</v>
      </c>
      <c r="D5" s="61" t="s">
        <v>451</v>
      </c>
      <c r="E5" s="53" t="s">
        <v>519</v>
      </c>
      <c r="F5" s="119">
        <v>4</v>
      </c>
      <c r="G5" s="55">
        <v>0</v>
      </c>
      <c r="H5" s="68">
        <v>4</v>
      </c>
      <c r="I5" s="67">
        <v>0</v>
      </c>
      <c r="J5" s="67">
        <v>0</v>
      </c>
      <c r="K5" s="67">
        <v>0</v>
      </c>
      <c r="L5" s="419"/>
      <c r="M5" s="67">
        <v>0</v>
      </c>
      <c r="N5" s="67">
        <v>0</v>
      </c>
      <c r="O5" s="67">
        <v>0</v>
      </c>
      <c r="P5" s="67">
        <v>0</v>
      </c>
      <c r="Q5" s="67">
        <v>0</v>
      </c>
      <c r="R5" s="53">
        <v>0</v>
      </c>
      <c r="S5" s="53"/>
      <c r="T5" s="53"/>
      <c r="U5" s="223">
        <f t="shared" si="0"/>
        <v>4</v>
      </c>
      <c r="V5" s="53">
        <f t="shared" si="1"/>
        <v>0</v>
      </c>
      <c r="W5" s="46"/>
      <c r="X5" s="46"/>
      <c r="Y5" s="46" t="s">
        <v>585</v>
      </c>
      <c r="Z5" s="46"/>
      <c r="AA5" s="251"/>
      <c r="AB5" s="138"/>
      <c r="AC5" s="294">
        <v>4</v>
      </c>
    </row>
    <row r="6" spans="1:31" s="54" customFormat="1" ht="16.5" customHeight="1">
      <c r="A6" s="138"/>
      <c r="B6" s="136">
        <v>3</v>
      </c>
      <c r="C6" s="58" t="s">
        <v>225</v>
      </c>
      <c r="D6" s="61" t="s">
        <v>258</v>
      </c>
      <c r="E6" s="53" t="s">
        <v>519</v>
      </c>
      <c r="F6" s="119">
        <v>6</v>
      </c>
      <c r="G6" s="53">
        <v>0</v>
      </c>
      <c r="H6" s="68">
        <v>6</v>
      </c>
      <c r="I6" s="67">
        <v>0</v>
      </c>
      <c r="J6" s="67">
        <v>0</v>
      </c>
      <c r="K6" s="67">
        <v>0</v>
      </c>
      <c r="L6" s="419"/>
      <c r="M6" s="67">
        <v>0</v>
      </c>
      <c r="N6" s="67">
        <v>0</v>
      </c>
      <c r="O6" s="67">
        <v>0</v>
      </c>
      <c r="P6" s="67">
        <v>0</v>
      </c>
      <c r="Q6" s="67">
        <v>0</v>
      </c>
      <c r="R6" s="53">
        <v>0</v>
      </c>
      <c r="S6" s="53"/>
      <c r="T6" s="53"/>
      <c r="U6" s="223">
        <f t="shared" si="0"/>
        <v>6</v>
      </c>
      <c r="V6" s="53">
        <f t="shared" si="1"/>
        <v>0</v>
      </c>
      <c r="W6" s="46"/>
      <c r="X6" s="46"/>
      <c r="Y6" s="46" t="s">
        <v>586</v>
      </c>
      <c r="Z6" s="46"/>
      <c r="AA6" s="251"/>
      <c r="AB6" s="138"/>
      <c r="AC6" s="294">
        <v>6</v>
      </c>
    </row>
    <row r="7" spans="1:31" s="54" customFormat="1" ht="16.5" customHeight="1">
      <c r="A7" s="138"/>
      <c r="B7" s="136">
        <v>4</v>
      </c>
      <c r="C7" s="58" t="s">
        <v>226</v>
      </c>
      <c r="D7" s="61" t="s">
        <v>248</v>
      </c>
      <c r="E7" s="53" t="s">
        <v>519</v>
      </c>
      <c r="F7" s="119">
        <v>3</v>
      </c>
      <c r="G7" s="53">
        <v>0</v>
      </c>
      <c r="H7" s="68">
        <v>3</v>
      </c>
      <c r="I7" s="67">
        <v>0</v>
      </c>
      <c r="J7" s="67">
        <v>0</v>
      </c>
      <c r="K7" s="67">
        <v>0</v>
      </c>
      <c r="L7" s="419"/>
      <c r="M7" s="67">
        <v>0</v>
      </c>
      <c r="N7" s="67">
        <v>0</v>
      </c>
      <c r="O7" s="67">
        <v>0</v>
      </c>
      <c r="P7" s="67">
        <v>0</v>
      </c>
      <c r="Q7" s="67">
        <v>0</v>
      </c>
      <c r="R7" s="53">
        <v>0</v>
      </c>
      <c r="S7" s="53"/>
      <c r="T7" s="53"/>
      <c r="U7" s="223">
        <f t="shared" si="0"/>
        <v>3</v>
      </c>
      <c r="V7" s="53">
        <f t="shared" si="1"/>
        <v>0</v>
      </c>
      <c r="W7" s="46"/>
      <c r="X7" s="46"/>
      <c r="Y7" s="46" t="s">
        <v>586</v>
      </c>
      <c r="Z7" s="46"/>
      <c r="AA7" s="251"/>
      <c r="AB7" s="138"/>
      <c r="AC7" s="294">
        <v>3</v>
      </c>
    </row>
    <row r="8" spans="1:31" s="54" customFormat="1" ht="16.5" customHeight="1">
      <c r="A8" s="138"/>
      <c r="B8" s="136">
        <v>5</v>
      </c>
      <c r="C8" s="58" t="s">
        <v>227</v>
      </c>
      <c r="D8" s="61" t="s">
        <v>249</v>
      </c>
      <c r="E8" s="53" t="s">
        <v>519</v>
      </c>
      <c r="F8" s="119">
        <v>3</v>
      </c>
      <c r="G8" s="53">
        <v>0</v>
      </c>
      <c r="H8" s="68">
        <v>3</v>
      </c>
      <c r="I8" s="67">
        <v>0</v>
      </c>
      <c r="J8" s="67">
        <v>0</v>
      </c>
      <c r="K8" s="67">
        <v>0</v>
      </c>
      <c r="L8" s="419"/>
      <c r="M8" s="67">
        <v>0</v>
      </c>
      <c r="N8" s="67">
        <v>0</v>
      </c>
      <c r="O8" s="67">
        <v>0</v>
      </c>
      <c r="P8" s="67">
        <v>0</v>
      </c>
      <c r="Q8" s="67">
        <v>0</v>
      </c>
      <c r="R8" s="53">
        <v>0</v>
      </c>
      <c r="S8" s="53"/>
      <c r="T8" s="53"/>
      <c r="U8" s="223">
        <f t="shared" si="0"/>
        <v>3</v>
      </c>
      <c r="V8" s="53">
        <f t="shared" si="1"/>
        <v>0</v>
      </c>
      <c r="W8" s="46"/>
      <c r="X8" s="46"/>
      <c r="Y8" s="46" t="s">
        <v>586</v>
      </c>
      <c r="Z8" s="46"/>
      <c r="AA8" s="251"/>
      <c r="AB8" s="138"/>
      <c r="AC8" s="294">
        <v>3</v>
      </c>
    </row>
    <row r="9" spans="1:31" s="54" customFormat="1" ht="16.5" customHeight="1">
      <c r="A9" s="138"/>
      <c r="B9" s="136">
        <v>6</v>
      </c>
      <c r="C9" s="58" t="s">
        <v>228</v>
      </c>
      <c r="D9" s="61" t="s">
        <v>380</v>
      </c>
      <c r="E9" s="53" t="s">
        <v>519</v>
      </c>
      <c r="F9" s="119">
        <v>4</v>
      </c>
      <c r="G9" s="53">
        <v>0</v>
      </c>
      <c r="H9" s="68">
        <v>4</v>
      </c>
      <c r="I9" s="67">
        <v>0</v>
      </c>
      <c r="J9" s="67">
        <v>0</v>
      </c>
      <c r="K9" s="67">
        <v>0</v>
      </c>
      <c r="L9" s="419"/>
      <c r="M9" s="67">
        <v>0</v>
      </c>
      <c r="N9" s="67">
        <v>0</v>
      </c>
      <c r="O9" s="67">
        <v>0</v>
      </c>
      <c r="P9" s="67">
        <v>0</v>
      </c>
      <c r="Q9" s="67">
        <v>0</v>
      </c>
      <c r="R9" s="53">
        <v>0</v>
      </c>
      <c r="S9" s="53"/>
      <c r="T9" s="53"/>
      <c r="U9" s="223">
        <f t="shared" si="0"/>
        <v>4</v>
      </c>
      <c r="V9" s="53">
        <f t="shared" si="1"/>
        <v>0</v>
      </c>
      <c r="W9" s="46"/>
      <c r="X9" s="46"/>
      <c r="Y9" s="46" t="s">
        <v>585</v>
      </c>
      <c r="Z9" s="46"/>
      <c r="AA9" s="251"/>
      <c r="AB9" s="138"/>
      <c r="AC9" s="294">
        <v>4</v>
      </c>
    </row>
    <row r="10" spans="1:31" s="54" customFormat="1" ht="16.5" customHeight="1">
      <c r="A10" s="138"/>
      <c r="B10" s="136">
        <v>7</v>
      </c>
      <c r="C10" s="58" t="s">
        <v>229</v>
      </c>
      <c r="D10" s="61" t="s">
        <v>452</v>
      </c>
      <c r="E10" s="53" t="s">
        <v>519</v>
      </c>
      <c r="F10" s="119">
        <v>6</v>
      </c>
      <c r="G10" s="53">
        <v>0</v>
      </c>
      <c r="H10" s="68">
        <v>6</v>
      </c>
      <c r="I10" s="67">
        <v>0</v>
      </c>
      <c r="J10" s="67">
        <v>0</v>
      </c>
      <c r="K10" s="67">
        <v>0</v>
      </c>
      <c r="L10" s="419"/>
      <c r="M10" s="67">
        <v>0</v>
      </c>
      <c r="N10" s="67">
        <v>0</v>
      </c>
      <c r="O10" s="67">
        <v>0</v>
      </c>
      <c r="P10" s="67">
        <v>0</v>
      </c>
      <c r="Q10" s="67">
        <v>0</v>
      </c>
      <c r="R10" s="53">
        <v>0</v>
      </c>
      <c r="S10" s="53"/>
      <c r="T10" s="53"/>
      <c r="U10" s="223">
        <f t="shared" si="0"/>
        <v>6</v>
      </c>
      <c r="V10" s="53">
        <f t="shared" si="1"/>
        <v>0</v>
      </c>
      <c r="W10" s="46"/>
      <c r="X10" s="46"/>
      <c r="Y10" s="46" t="s">
        <v>587</v>
      </c>
      <c r="Z10" s="46"/>
      <c r="AA10" s="251"/>
      <c r="AB10" s="138"/>
      <c r="AC10" s="294">
        <v>6</v>
      </c>
    </row>
    <row r="11" spans="1:31" s="54" customFormat="1" ht="16.5" customHeight="1">
      <c r="A11" s="138"/>
      <c r="B11" s="136">
        <v>8</v>
      </c>
      <c r="C11" s="58" t="s">
        <v>230</v>
      </c>
      <c r="D11" s="65" t="s">
        <v>250</v>
      </c>
      <c r="E11" s="53" t="s">
        <v>256</v>
      </c>
      <c r="F11" s="120" t="s">
        <v>446</v>
      </c>
      <c r="G11" s="53">
        <v>0</v>
      </c>
      <c r="H11" s="68">
        <v>9</v>
      </c>
      <c r="I11" s="67">
        <v>0</v>
      </c>
      <c r="J11" s="67">
        <v>0</v>
      </c>
      <c r="K11" s="67">
        <v>0</v>
      </c>
      <c r="L11" s="419"/>
      <c r="M11" s="67">
        <v>0</v>
      </c>
      <c r="N11" s="67">
        <v>0</v>
      </c>
      <c r="O11" s="67">
        <v>0</v>
      </c>
      <c r="P11" s="67">
        <v>0</v>
      </c>
      <c r="Q11" s="67">
        <v>0</v>
      </c>
      <c r="R11" s="53">
        <v>0</v>
      </c>
      <c r="S11" s="53"/>
      <c r="T11" s="53"/>
      <c r="U11" s="223">
        <f t="shared" si="0"/>
        <v>9</v>
      </c>
      <c r="V11" s="53">
        <f t="shared" si="1"/>
        <v>0</v>
      </c>
      <c r="W11" s="46"/>
      <c r="X11" s="46"/>
      <c r="Y11" s="46" t="s">
        <v>585</v>
      </c>
      <c r="Z11" s="46"/>
      <c r="AA11" s="251"/>
      <c r="AB11" s="138"/>
      <c r="AC11" s="295" t="s">
        <v>446</v>
      </c>
    </row>
    <row r="12" spans="1:31" s="54" customFormat="1" ht="16.5" customHeight="1">
      <c r="A12" s="138"/>
      <c r="B12" s="136">
        <v>9</v>
      </c>
      <c r="C12" s="58" t="s">
        <v>381</v>
      </c>
      <c r="D12" s="61" t="s">
        <v>383</v>
      </c>
      <c r="E12" s="53" t="s">
        <v>256</v>
      </c>
      <c r="F12" s="119">
        <v>1</v>
      </c>
      <c r="G12" s="53">
        <v>0</v>
      </c>
      <c r="H12" s="68">
        <v>1</v>
      </c>
      <c r="I12" s="67">
        <v>0</v>
      </c>
      <c r="J12" s="67">
        <v>0</v>
      </c>
      <c r="K12" s="67">
        <v>0</v>
      </c>
      <c r="L12" s="419"/>
      <c r="M12" s="67">
        <v>0</v>
      </c>
      <c r="N12" s="67">
        <v>0</v>
      </c>
      <c r="O12" s="67">
        <v>0</v>
      </c>
      <c r="P12" s="67">
        <v>0</v>
      </c>
      <c r="Q12" s="67">
        <v>0</v>
      </c>
      <c r="R12" s="53">
        <v>0</v>
      </c>
      <c r="S12" s="53"/>
      <c r="T12" s="53"/>
      <c r="U12" s="223">
        <f t="shared" si="0"/>
        <v>1</v>
      </c>
      <c r="V12" s="53">
        <f t="shared" si="1"/>
        <v>0</v>
      </c>
      <c r="W12" s="46"/>
      <c r="X12" s="46"/>
      <c r="Y12" s="46"/>
      <c r="Z12" s="46"/>
      <c r="AA12" s="251"/>
      <c r="AB12" s="138"/>
      <c r="AC12" s="294">
        <v>1</v>
      </c>
    </row>
    <row r="13" spans="1:31" s="54" customFormat="1" ht="16.5" customHeight="1">
      <c r="A13" s="138"/>
      <c r="B13" s="136">
        <v>10</v>
      </c>
      <c r="C13" s="58" t="s">
        <v>382</v>
      </c>
      <c r="D13" s="61" t="s">
        <v>384</v>
      </c>
      <c r="E13" s="53" t="s">
        <v>256</v>
      </c>
      <c r="F13" s="119">
        <v>1</v>
      </c>
      <c r="G13" s="53">
        <v>0</v>
      </c>
      <c r="H13" s="68">
        <v>1</v>
      </c>
      <c r="I13" s="67">
        <v>0</v>
      </c>
      <c r="J13" s="67">
        <v>0</v>
      </c>
      <c r="K13" s="67">
        <v>0</v>
      </c>
      <c r="L13" s="419"/>
      <c r="M13" s="67">
        <v>0</v>
      </c>
      <c r="N13" s="67">
        <v>0</v>
      </c>
      <c r="O13" s="67">
        <v>0</v>
      </c>
      <c r="P13" s="67">
        <v>0</v>
      </c>
      <c r="Q13" s="67">
        <v>0</v>
      </c>
      <c r="R13" s="53">
        <v>0</v>
      </c>
      <c r="S13" s="53"/>
      <c r="T13" s="53"/>
      <c r="U13" s="223">
        <f t="shared" si="0"/>
        <v>1</v>
      </c>
      <c r="V13" s="53">
        <f t="shared" si="1"/>
        <v>0</v>
      </c>
      <c r="W13" s="46"/>
      <c r="X13" s="46"/>
      <c r="Y13" s="46"/>
      <c r="Z13" s="46"/>
      <c r="AA13" s="251"/>
      <c r="AB13" s="138"/>
      <c r="AC13" s="294">
        <v>1</v>
      </c>
    </row>
    <row r="14" spans="1:31" s="54" customFormat="1" ht="33.75" customHeight="1">
      <c r="A14" s="138"/>
      <c r="B14" s="136">
        <v>11</v>
      </c>
      <c r="C14" s="58" t="s">
        <v>233</v>
      </c>
      <c r="D14" s="66" t="s">
        <v>601</v>
      </c>
      <c r="E14" s="53" t="s">
        <v>519</v>
      </c>
      <c r="F14" s="121">
        <v>4</v>
      </c>
      <c r="G14" s="53">
        <v>0</v>
      </c>
      <c r="H14" s="68">
        <v>4</v>
      </c>
      <c r="I14" s="67">
        <v>0</v>
      </c>
      <c r="J14" s="67">
        <v>0</v>
      </c>
      <c r="K14" s="67">
        <v>0</v>
      </c>
      <c r="L14" s="419"/>
      <c r="M14" s="67">
        <v>0</v>
      </c>
      <c r="N14" s="67">
        <v>0</v>
      </c>
      <c r="O14" s="67">
        <v>0</v>
      </c>
      <c r="P14" s="67">
        <v>0</v>
      </c>
      <c r="Q14" s="67">
        <v>0</v>
      </c>
      <c r="R14" s="53">
        <v>0</v>
      </c>
      <c r="S14" s="53"/>
      <c r="T14" s="53"/>
      <c r="U14" s="223">
        <f t="shared" si="0"/>
        <v>4</v>
      </c>
      <c r="V14" s="53">
        <f t="shared" si="1"/>
        <v>0</v>
      </c>
      <c r="W14" s="46"/>
      <c r="X14" s="46"/>
      <c r="Y14" s="46"/>
      <c r="Z14" s="46"/>
      <c r="AA14" s="252"/>
      <c r="AB14" s="258"/>
      <c r="AC14" s="296">
        <v>4</v>
      </c>
      <c r="AD14" s="190"/>
      <c r="AE14" s="190"/>
    </row>
    <row r="15" spans="1:31" s="54" customFormat="1" ht="16.5" customHeight="1">
      <c r="A15" s="138"/>
      <c r="B15" s="136">
        <v>12</v>
      </c>
      <c r="C15" s="58" t="s">
        <v>259</v>
      </c>
      <c r="D15" s="66" t="s">
        <v>385</v>
      </c>
      <c r="E15" s="53" t="s">
        <v>519</v>
      </c>
      <c r="F15" s="121">
        <v>1</v>
      </c>
      <c r="G15" s="53">
        <v>0</v>
      </c>
      <c r="H15" s="68">
        <v>1</v>
      </c>
      <c r="I15" s="67">
        <v>0</v>
      </c>
      <c r="J15" s="67">
        <v>0</v>
      </c>
      <c r="K15" s="67">
        <v>0</v>
      </c>
      <c r="L15" s="419"/>
      <c r="M15" s="67">
        <v>0</v>
      </c>
      <c r="N15" s="67">
        <v>0</v>
      </c>
      <c r="O15" s="67">
        <v>0</v>
      </c>
      <c r="P15" s="67">
        <v>0</v>
      </c>
      <c r="Q15" s="67">
        <v>0</v>
      </c>
      <c r="R15" s="53">
        <v>0</v>
      </c>
      <c r="S15" s="53"/>
      <c r="T15" s="53"/>
      <c r="U15" s="223">
        <f t="shared" si="0"/>
        <v>1</v>
      </c>
      <c r="V15" s="53">
        <f t="shared" si="1"/>
        <v>0</v>
      </c>
      <c r="W15" s="46"/>
      <c r="X15" s="46"/>
      <c r="Y15" s="46" t="s">
        <v>586</v>
      </c>
      <c r="Z15" s="46"/>
      <c r="AA15" s="252"/>
      <c r="AB15" s="258"/>
      <c r="AC15" s="296">
        <v>1</v>
      </c>
      <c r="AD15" s="190"/>
      <c r="AE15" s="190"/>
    </row>
    <row r="16" spans="1:31" s="54" customFormat="1" ht="27.75" customHeight="1">
      <c r="A16" s="138"/>
      <c r="B16" s="137">
        <v>13</v>
      </c>
      <c r="C16" s="108" t="s">
        <v>447</v>
      </c>
      <c r="D16" s="109" t="s">
        <v>260</v>
      </c>
      <c r="E16" s="56" t="s">
        <v>519</v>
      </c>
      <c r="F16" s="195">
        <v>2</v>
      </c>
      <c r="G16" s="56">
        <v>0</v>
      </c>
      <c r="H16" s="110">
        <v>2</v>
      </c>
      <c r="I16" s="110">
        <v>0</v>
      </c>
      <c r="J16" s="110">
        <v>0</v>
      </c>
      <c r="K16" s="110">
        <v>0</v>
      </c>
      <c r="L16" s="419"/>
      <c r="M16" s="110">
        <v>0</v>
      </c>
      <c r="N16" s="110">
        <v>0</v>
      </c>
      <c r="O16" s="157">
        <v>1</v>
      </c>
      <c r="P16" s="110">
        <v>0</v>
      </c>
      <c r="Q16" s="110"/>
      <c r="R16" s="222">
        <v>1</v>
      </c>
      <c r="S16" s="56" t="s">
        <v>651</v>
      </c>
      <c r="T16" s="56" t="s">
        <v>652</v>
      </c>
      <c r="U16" s="260">
        <f>G16+H16+I16+J16+M16+N16+O16-R16</f>
        <v>2</v>
      </c>
      <c r="V16" s="56">
        <f t="shared" si="1"/>
        <v>0</v>
      </c>
      <c r="W16" s="104" t="s">
        <v>653</v>
      </c>
      <c r="X16" s="103"/>
      <c r="Y16" s="103" t="s">
        <v>587</v>
      </c>
      <c r="Z16" s="103" t="s">
        <v>660</v>
      </c>
      <c r="AA16" s="253" t="s">
        <v>657</v>
      </c>
      <c r="AB16" s="258"/>
      <c r="AC16" s="297">
        <v>2</v>
      </c>
      <c r="AD16" s="190"/>
      <c r="AE16" s="190"/>
    </row>
    <row r="17" spans="1:31" s="129" customFormat="1" ht="29.25" customHeight="1">
      <c r="A17" s="139"/>
      <c r="B17" s="137">
        <v>14</v>
      </c>
      <c r="C17" s="108" t="s">
        <v>235</v>
      </c>
      <c r="D17" s="109" t="s">
        <v>261</v>
      </c>
      <c r="E17" s="56" t="s">
        <v>519</v>
      </c>
      <c r="F17" s="117">
        <v>3</v>
      </c>
      <c r="G17" s="56">
        <v>0</v>
      </c>
      <c r="H17" s="110">
        <v>3</v>
      </c>
      <c r="I17" s="110">
        <v>0</v>
      </c>
      <c r="J17" s="110">
        <v>0</v>
      </c>
      <c r="K17" s="110">
        <v>0</v>
      </c>
      <c r="L17" s="419"/>
      <c r="M17" s="110">
        <v>0</v>
      </c>
      <c r="N17" s="110">
        <v>0</v>
      </c>
      <c r="O17" s="110">
        <v>0</v>
      </c>
      <c r="P17" s="157">
        <v>1</v>
      </c>
      <c r="Q17" s="110"/>
      <c r="R17" s="222">
        <v>1</v>
      </c>
      <c r="S17" s="56" t="s">
        <v>546</v>
      </c>
      <c r="T17" s="56" t="s">
        <v>548</v>
      </c>
      <c r="U17" s="260">
        <f>G17+H17+I17+J17+M17+N17+O17+P17-R17</f>
        <v>3</v>
      </c>
      <c r="V17" s="56">
        <f t="shared" si="1"/>
        <v>0</v>
      </c>
      <c r="W17" s="103" t="s">
        <v>549</v>
      </c>
      <c r="X17" s="103" t="s">
        <v>550</v>
      </c>
      <c r="Y17" s="103" t="s">
        <v>598</v>
      </c>
      <c r="Z17" s="103" t="s">
        <v>659</v>
      </c>
      <c r="AA17" s="253" t="s">
        <v>658</v>
      </c>
      <c r="AB17" s="258"/>
      <c r="AC17" s="110">
        <v>3</v>
      </c>
      <c r="AD17" s="190"/>
      <c r="AE17" s="190"/>
    </row>
    <row r="18" spans="1:31" s="54" customFormat="1" ht="16.5" customHeight="1">
      <c r="A18" s="138"/>
      <c r="B18" s="136">
        <v>15</v>
      </c>
      <c r="C18" s="58" t="s">
        <v>236</v>
      </c>
      <c r="D18" s="66" t="s">
        <v>453</v>
      </c>
      <c r="E18" s="53" t="s">
        <v>519</v>
      </c>
      <c r="F18" s="121">
        <v>1</v>
      </c>
      <c r="G18" s="53">
        <v>0</v>
      </c>
      <c r="H18" s="68">
        <v>1</v>
      </c>
      <c r="I18" s="67">
        <v>0</v>
      </c>
      <c r="J18" s="67">
        <v>0</v>
      </c>
      <c r="K18" s="67">
        <v>0</v>
      </c>
      <c r="L18" s="419"/>
      <c r="M18" s="67">
        <v>0</v>
      </c>
      <c r="N18" s="67">
        <v>0</v>
      </c>
      <c r="O18" s="67">
        <v>0</v>
      </c>
      <c r="P18" s="67">
        <v>0</v>
      </c>
      <c r="Q18" s="67"/>
      <c r="R18" s="53">
        <v>0</v>
      </c>
      <c r="S18" s="53"/>
      <c r="T18" s="53"/>
      <c r="U18" s="223">
        <f t="shared" ref="U18:U40" si="2">G18+H18+I18-R18</f>
        <v>1</v>
      </c>
      <c r="V18" s="53">
        <f t="shared" si="1"/>
        <v>0</v>
      </c>
      <c r="W18" s="46"/>
      <c r="X18" s="46"/>
      <c r="Y18" s="46" t="s">
        <v>623</v>
      </c>
      <c r="Z18" s="46"/>
      <c r="AA18" s="252"/>
      <c r="AB18" s="258"/>
      <c r="AC18" s="296">
        <v>1</v>
      </c>
      <c r="AD18" s="190"/>
      <c r="AE18" s="190"/>
    </row>
    <row r="19" spans="1:31" s="54" customFormat="1" ht="16.5" customHeight="1">
      <c r="A19" s="138"/>
      <c r="B19" s="136">
        <v>16</v>
      </c>
      <c r="C19" s="58" t="s">
        <v>237</v>
      </c>
      <c r="D19" s="66" t="s">
        <v>262</v>
      </c>
      <c r="E19" s="53" t="s">
        <v>519</v>
      </c>
      <c r="F19" s="121">
        <v>1</v>
      </c>
      <c r="G19" s="53">
        <v>0</v>
      </c>
      <c r="H19" s="68">
        <v>1</v>
      </c>
      <c r="I19" s="67">
        <v>0</v>
      </c>
      <c r="J19" s="67">
        <v>0</v>
      </c>
      <c r="K19" s="67">
        <v>0</v>
      </c>
      <c r="L19" s="419"/>
      <c r="M19" s="67">
        <v>0</v>
      </c>
      <c r="N19" s="67">
        <v>0</v>
      </c>
      <c r="O19" s="67">
        <v>0</v>
      </c>
      <c r="P19" s="67">
        <v>0</v>
      </c>
      <c r="Q19" s="67"/>
      <c r="R19" s="53">
        <v>0</v>
      </c>
      <c r="S19" s="53"/>
      <c r="T19" s="53"/>
      <c r="U19" s="223">
        <f t="shared" si="2"/>
        <v>1</v>
      </c>
      <c r="V19" s="53">
        <f t="shared" si="1"/>
        <v>0</v>
      </c>
      <c r="W19" s="68"/>
      <c r="X19" s="68"/>
      <c r="Y19" s="68"/>
      <c r="Z19" s="68"/>
      <c r="AA19" s="252"/>
      <c r="AB19" s="258"/>
      <c r="AC19" s="296">
        <v>1</v>
      </c>
      <c r="AD19" s="190"/>
      <c r="AE19" s="190"/>
    </row>
    <row r="20" spans="1:31" s="54" customFormat="1" ht="16.5" customHeight="1">
      <c r="A20" s="138"/>
      <c r="B20" s="136">
        <v>17</v>
      </c>
      <c r="C20" s="58" t="s">
        <v>238</v>
      </c>
      <c r="D20" s="61" t="s">
        <v>263</v>
      </c>
      <c r="E20" s="53" t="s">
        <v>519</v>
      </c>
      <c r="F20" s="119">
        <v>1</v>
      </c>
      <c r="G20" s="53">
        <v>0</v>
      </c>
      <c r="H20" s="68">
        <v>1</v>
      </c>
      <c r="I20" s="67">
        <v>0</v>
      </c>
      <c r="J20" s="67">
        <v>0</v>
      </c>
      <c r="K20" s="67">
        <v>0</v>
      </c>
      <c r="L20" s="419"/>
      <c r="M20" s="67">
        <v>0</v>
      </c>
      <c r="N20" s="67">
        <v>0</v>
      </c>
      <c r="O20" s="67">
        <v>0</v>
      </c>
      <c r="P20" s="67">
        <v>0</v>
      </c>
      <c r="Q20" s="67"/>
      <c r="R20" s="53">
        <v>0</v>
      </c>
      <c r="S20" s="53"/>
      <c r="T20" s="53"/>
      <c r="U20" s="223">
        <f t="shared" si="2"/>
        <v>1</v>
      </c>
      <c r="V20" s="53">
        <f t="shared" si="1"/>
        <v>0</v>
      </c>
      <c r="W20" s="46"/>
      <c r="X20" s="46"/>
      <c r="Y20" s="46"/>
      <c r="Z20" s="46"/>
      <c r="AA20" s="252"/>
      <c r="AB20" s="258"/>
      <c r="AC20" s="294">
        <v>1</v>
      </c>
      <c r="AD20" s="190"/>
      <c r="AE20" s="190"/>
    </row>
    <row r="21" spans="1:31" s="54" customFormat="1" ht="27" customHeight="1">
      <c r="A21" s="138"/>
      <c r="B21" s="137">
        <v>18</v>
      </c>
      <c r="C21" s="108" t="s">
        <v>240</v>
      </c>
      <c r="D21" s="109" t="s">
        <v>454</v>
      </c>
      <c r="E21" s="56" t="s">
        <v>519</v>
      </c>
      <c r="F21" s="117">
        <v>3</v>
      </c>
      <c r="G21" s="56">
        <v>0</v>
      </c>
      <c r="H21" s="110">
        <v>1</v>
      </c>
      <c r="I21" s="110">
        <v>2</v>
      </c>
      <c r="J21" s="110">
        <v>0</v>
      </c>
      <c r="K21" s="110">
        <v>0</v>
      </c>
      <c r="L21" s="419"/>
      <c r="M21" s="110">
        <v>0</v>
      </c>
      <c r="N21" s="110">
        <v>0</v>
      </c>
      <c r="O21" s="110">
        <v>0</v>
      </c>
      <c r="P21" s="110">
        <v>0</v>
      </c>
      <c r="Q21" s="110">
        <v>0</v>
      </c>
      <c r="R21" s="56">
        <v>1</v>
      </c>
      <c r="S21" s="56" t="s">
        <v>703</v>
      </c>
      <c r="T21" s="56" t="s">
        <v>704</v>
      </c>
      <c r="U21" s="260">
        <f t="shared" si="2"/>
        <v>2</v>
      </c>
      <c r="V21" s="56">
        <f t="shared" si="1"/>
        <v>1</v>
      </c>
      <c r="W21" s="103" t="s">
        <v>705</v>
      </c>
      <c r="X21" s="103" t="s">
        <v>706</v>
      </c>
      <c r="Y21" s="103" t="s">
        <v>588</v>
      </c>
      <c r="Z21" s="103" t="s">
        <v>707</v>
      </c>
      <c r="AA21" s="253"/>
      <c r="AB21" s="258"/>
      <c r="AC21" s="110">
        <v>3</v>
      </c>
      <c r="AD21" s="190"/>
      <c r="AE21" s="190"/>
    </row>
    <row r="22" spans="1:31" s="54" customFormat="1" ht="16.5" customHeight="1">
      <c r="A22" s="138"/>
      <c r="B22" s="136">
        <v>19</v>
      </c>
      <c r="C22" s="58" t="s">
        <v>241</v>
      </c>
      <c r="D22" s="61" t="s">
        <v>602</v>
      </c>
      <c r="E22" s="53" t="s">
        <v>519</v>
      </c>
      <c r="F22" s="119">
        <v>2</v>
      </c>
      <c r="G22" s="53">
        <v>0</v>
      </c>
      <c r="H22" s="68">
        <v>2</v>
      </c>
      <c r="I22" s="67">
        <v>0</v>
      </c>
      <c r="J22" s="67">
        <v>0</v>
      </c>
      <c r="K22" s="67">
        <v>0</v>
      </c>
      <c r="L22" s="419"/>
      <c r="M22" s="67">
        <v>0</v>
      </c>
      <c r="N22" s="67">
        <v>0</v>
      </c>
      <c r="O22" s="67">
        <v>0</v>
      </c>
      <c r="P22" s="67">
        <v>0</v>
      </c>
      <c r="Q22" s="67">
        <v>0</v>
      </c>
      <c r="R22" s="53">
        <v>0</v>
      </c>
      <c r="S22" s="53"/>
      <c r="T22" s="53"/>
      <c r="U22" s="223">
        <f t="shared" si="2"/>
        <v>2</v>
      </c>
      <c r="V22" s="53">
        <f t="shared" si="1"/>
        <v>0</v>
      </c>
      <c r="W22" s="46"/>
      <c r="X22" s="46"/>
      <c r="Y22" s="46"/>
      <c r="Z22" s="46"/>
      <c r="AA22" s="251"/>
      <c r="AB22" s="138"/>
      <c r="AC22" s="294">
        <v>2</v>
      </c>
    </row>
    <row r="23" spans="1:31" s="54" customFormat="1" ht="16.5" customHeight="1">
      <c r="A23" s="138"/>
      <c r="B23" s="136">
        <v>20</v>
      </c>
      <c r="C23" s="58" t="s">
        <v>242</v>
      </c>
      <c r="D23" s="61" t="s">
        <v>455</v>
      </c>
      <c r="E23" s="53" t="s">
        <v>519</v>
      </c>
      <c r="F23" s="119">
        <v>1</v>
      </c>
      <c r="G23" s="53">
        <v>0</v>
      </c>
      <c r="H23" s="68">
        <v>1</v>
      </c>
      <c r="I23" s="67">
        <v>0</v>
      </c>
      <c r="J23" s="67">
        <v>0</v>
      </c>
      <c r="K23" s="67">
        <v>0</v>
      </c>
      <c r="L23" s="419"/>
      <c r="M23" s="67">
        <v>0</v>
      </c>
      <c r="N23" s="67">
        <v>0</v>
      </c>
      <c r="O23" s="67">
        <v>0</v>
      </c>
      <c r="P23" s="67">
        <v>0</v>
      </c>
      <c r="Q23" s="67">
        <v>0</v>
      </c>
      <c r="R23" s="53">
        <v>0</v>
      </c>
      <c r="S23" s="53"/>
      <c r="T23" s="53"/>
      <c r="U23" s="223">
        <f t="shared" si="2"/>
        <v>1</v>
      </c>
      <c r="V23" s="53">
        <f t="shared" si="1"/>
        <v>0</v>
      </c>
      <c r="W23" s="46"/>
      <c r="X23" s="46"/>
      <c r="Y23" s="46" t="s">
        <v>586</v>
      </c>
      <c r="Z23" s="46"/>
      <c r="AA23" s="251"/>
      <c r="AB23" s="138"/>
      <c r="AC23" s="294">
        <v>1</v>
      </c>
    </row>
    <row r="24" spans="1:31" s="54" customFormat="1" ht="16.5" customHeight="1">
      <c r="A24" s="138"/>
      <c r="B24" s="136">
        <v>21</v>
      </c>
      <c r="C24" s="58" t="s">
        <v>245</v>
      </c>
      <c r="D24" s="62" t="s">
        <v>456</v>
      </c>
      <c r="E24" s="53" t="s">
        <v>519</v>
      </c>
      <c r="F24" s="122">
        <v>1</v>
      </c>
      <c r="G24" s="53">
        <v>0</v>
      </c>
      <c r="H24" s="68">
        <v>1</v>
      </c>
      <c r="I24" s="67">
        <v>0</v>
      </c>
      <c r="J24" s="67">
        <v>0</v>
      </c>
      <c r="K24" s="67">
        <v>0</v>
      </c>
      <c r="L24" s="419"/>
      <c r="M24" s="67">
        <v>0</v>
      </c>
      <c r="N24" s="67">
        <v>0</v>
      </c>
      <c r="O24" s="67">
        <v>0</v>
      </c>
      <c r="P24" s="67">
        <v>0</v>
      </c>
      <c r="Q24" s="67">
        <v>0</v>
      </c>
      <c r="R24" s="53">
        <v>0</v>
      </c>
      <c r="S24" s="53"/>
      <c r="T24" s="53"/>
      <c r="U24" s="223">
        <f t="shared" si="2"/>
        <v>1</v>
      </c>
      <c r="V24" s="53">
        <f t="shared" si="1"/>
        <v>0</v>
      </c>
      <c r="W24" s="46"/>
      <c r="X24" s="46"/>
      <c r="Y24" s="46" t="s">
        <v>586</v>
      </c>
      <c r="Z24" s="46"/>
      <c r="AA24" s="251"/>
      <c r="AB24" s="138"/>
      <c r="AC24" s="298">
        <v>1</v>
      </c>
    </row>
    <row r="25" spans="1:31" s="54" customFormat="1" ht="16.5" customHeight="1">
      <c r="A25" s="138"/>
      <c r="B25" s="136">
        <v>22</v>
      </c>
      <c r="C25" s="58" t="s">
        <v>246</v>
      </c>
      <c r="D25" s="61" t="s">
        <v>457</v>
      </c>
      <c r="E25" s="53" t="s">
        <v>519</v>
      </c>
      <c r="F25" s="119">
        <v>2</v>
      </c>
      <c r="G25" s="53">
        <v>0</v>
      </c>
      <c r="H25" s="68">
        <v>2</v>
      </c>
      <c r="I25" s="67">
        <v>0</v>
      </c>
      <c r="J25" s="67">
        <v>0</v>
      </c>
      <c r="K25" s="67">
        <v>0</v>
      </c>
      <c r="L25" s="419"/>
      <c r="M25" s="67">
        <v>0</v>
      </c>
      <c r="N25" s="67">
        <v>0</v>
      </c>
      <c r="O25" s="67">
        <v>0</v>
      </c>
      <c r="P25" s="67">
        <v>0</v>
      </c>
      <c r="Q25" s="67">
        <v>0</v>
      </c>
      <c r="R25" s="53">
        <v>0</v>
      </c>
      <c r="S25" s="53"/>
      <c r="T25" s="53"/>
      <c r="U25" s="223">
        <f t="shared" si="2"/>
        <v>2</v>
      </c>
      <c r="V25" s="53">
        <f t="shared" si="1"/>
        <v>0</v>
      </c>
      <c r="W25" s="46"/>
      <c r="X25" s="46"/>
      <c r="Y25" s="46" t="s">
        <v>585</v>
      </c>
      <c r="Z25" s="46"/>
      <c r="AA25" s="251"/>
      <c r="AB25" s="138"/>
      <c r="AC25" s="294">
        <v>2</v>
      </c>
    </row>
    <row r="26" spans="1:31" s="54" customFormat="1" ht="16.5" customHeight="1">
      <c r="A26" s="138"/>
      <c r="B26" s="136">
        <v>23</v>
      </c>
      <c r="C26" s="58" t="s">
        <v>247</v>
      </c>
      <c r="D26" s="61" t="s">
        <v>458</v>
      </c>
      <c r="E26" s="53" t="s">
        <v>519</v>
      </c>
      <c r="F26" s="119">
        <v>2</v>
      </c>
      <c r="G26" s="53">
        <v>0</v>
      </c>
      <c r="H26" s="68">
        <v>2</v>
      </c>
      <c r="I26" s="67">
        <v>0</v>
      </c>
      <c r="J26" s="67">
        <v>0</v>
      </c>
      <c r="K26" s="67">
        <v>0</v>
      </c>
      <c r="L26" s="419"/>
      <c r="M26" s="67">
        <v>0</v>
      </c>
      <c r="N26" s="67">
        <v>0</v>
      </c>
      <c r="O26" s="67">
        <v>0</v>
      </c>
      <c r="P26" s="67">
        <v>0</v>
      </c>
      <c r="Q26" s="67">
        <v>0</v>
      </c>
      <c r="R26" s="53">
        <v>0</v>
      </c>
      <c r="S26" s="53"/>
      <c r="T26" s="53"/>
      <c r="U26" s="223">
        <f t="shared" si="2"/>
        <v>2</v>
      </c>
      <c r="V26" s="53">
        <f t="shared" si="1"/>
        <v>0</v>
      </c>
      <c r="W26" s="46"/>
      <c r="X26" s="46"/>
      <c r="Y26" s="46" t="s">
        <v>589</v>
      </c>
      <c r="Z26" s="46"/>
      <c r="AA26" s="251"/>
      <c r="AB26" s="138"/>
      <c r="AC26" s="294">
        <v>2</v>
      </c>
    </row>
    <row r="27" spans="1:31" s="54" customFormat="1" ht="16.5" customHeight="1">
      <c r="A27" s="138"/>
      <c r="B27" s="137">
        <v>24</v>
      </c>
      <c r="C27" s="108" t="s">
        <v>223</v>
      </c>
      <c r="D27" s="109" t="s">
        <v>459</v>
      </c>
      <c r="E27" s="56" t="s">
        <v>519</v>
      </c>
      <c r="F27" s="195">
        <v>4</v>
      </c>
      <c r="G27" s="56">
        <v>0</v>
      </c>
      <c r="H27" s="110">
        <v>4</v>
      </c>
      <c r="I27" s="110">
        <v>0</v>
      </c>
      <c r="J27" s="110">
        <v>0</v>
      </c>
      <c r="K27" s="110">
        <v>0</v>
      </c>
      <c r="L27" s="419"/>
      <c r="M27" s="110">
        <v>0</v>
      </c>
      <c r="N27" s="110">
        <v>0</v>
      </c>
      <c r="O27" s="110">
        <v>0</v>
      </c>
      <c r="P27" s="110">
        <v>0</v>
      </c>
      <c r="Q27" s="110">
        <v>0</v>
      </c>
      <c r="R27" s="222">
        <v>2</v>
      </c>
      <c r="S27" s="56" t="s">
        <v>690</v>
      </c>
      <c r="T27" s="56" t="s">
        <v>694</v>
      </c>
      <c r="U27" s="260">
        <f t="shared" si="2"/>
        <v>2</v>
      </c>
      <c r="V27" s="56">
        <f t="shared" si="1"/>
        <v>2</v>
      </c>
      <c r="W27" s="103" t="s">
        <v>693</v>
      </c>
      <c r="X27" s="250" t="s">
        <v>692</v>
      </c>
      <c r="Y27" s="103"/>
      <c r="Z27" s="103" t="s">
        <v>691</v>
      </c>
      <c r="AA27" s="253">
        <v>1.1930000000000001</v>
      </c>
      <c r="AB27" s="138"/>
      <c r="AC27" s="297">
        <v>4</v>
      </c>
    </row>
    <row r="28" spans="1:31" s="54" customFormat="1" ht="16.5" customHeight="1">
      <c r="A28" s="138"/>
      <c r="B28" s="136">
        <v>25</v>
      </c>
      <c r="C28" s="58" t="s">
        <v>231</v>
      </c>
      <c r="D28" s="61" t="s">
        <v>599</v>
      </c>
      <c r="E28" s="53" t="s">
        <v>519</v>
      </c>
      <c r="F28" s="119">
        <v>2</v>
      </c>
      <c r="G28" s="53">
        <v>0</v>
      </c>
      <c r="H28" s="68">
        <v>2</v>
      </c>
      <c r="I28" s="67">
        <v>0</v>
      </c>
      <c r="J28" s="67">
        <v>0</v>
      </c>
      <c r="K28" s="67">
        <v>0</v>
      </c>
      <c r="L28" s="419"/>
      <c r="M28" s="67">
        <v>0</v>
      </c>
      <c r="N28" s="67">
        <v>0</v>
      </c>
      <c r="O28" s="67">
        <v>0</v>
      </c>
      <c r="P28" s="67">
        <v>0</v>
      </c>
      <c r="Q28" s="67">
        <v>0</v>
      </c>
      <c r="R28" s="53">
        <v>0</v>
      </c>
      <c r="S28" s="53"/>
      <c r="T28" s="53"/>
      <c r="U28" s="223">
        <f t="shared" si="2"/>
        <v>2</v>
      </c>
      <c r="V28" s="53">
        <f t="shared" si="1"/>
        <v>0</v>
      </c>
      <c r="W28" s="77"/>
      <c r="X28" s="77"/>
      <c r="Y28" s="46" t="s">
        <v>585</v>
      </c>
      <c r="Z28" s="77"/>
      <c r="AA28" s="251"/>
      <c r="AB28" s="138"/>
      <c r="AC28" s="294">
        <v>2</v>
      </c>
    </row>
    <row r="29" spans="1:31" s="54" customFormat="1" ht="16.5" customHeight="1">
      <c r="A29" s="138"/>
      <c r="B29" s="136">
        <v>26</v>
      </c>
      <c r="C29" s="59" t="s">
        <v>232</v>
      </c>
      <c r="D29" s="66" t="s">
        <v>251</v>
      </c>
      <c r="E29" s="53" t="s">
        <v>519</v>
      </c>
      <c r="F29" s="121">
        <v>2</v>
      </c>
      <c r="G29" s="53">
        <v>0</v>
      </c>
      <c r="H29" s="69">
        <v>2</v>
      </c>
      <c r="I29" s="67">
        <v>0</v>
      </c>
      <c r="J29" s="67">
        <v>0</v>
      </c>
      <c r="K29" s="67">
        <v>0</v>
      </c>
      <c r="L29" s="419"/>
      <c r="M29" s="67">
        <v>0</v>
      </c>
      <c r="N29" s="67">
        <v>0</v>
      </c>
      <c r="O29" s="67">
        <v>0</v>
      </c>
      <c r="P29" s="67">
        <v>0</v>
      </c>
      <c r="Q29" s="67">
        <v>0</v>
      </c>
      <c r="R29" s="53">
        <v>0</v>
      </c>
      <c r="S29" s="53"/>
      <c r="T29" s="53"/>
      <c r="U29" s="223">
        <f t="shared" si="2"/>
        <v>2</v>
      </c>
      <c r="V29" s="53">
        <f t="shared" si="1"/>
        <v>0</v>
      </c>
      <c r="W29" s="77"/>
      <c r="X29" s="77"/>
      <c r="Y29" s="46" t="s">
        <v>585</v>
      </c>
      <c r="Z29" s="77"/>
      <c r="AA29" s="251"/>
      <c r="AB29" s="138"/>
      <c r="AC29" s="296">
        <v>2</v>
      </c>
    </row>
    <row r="30" spans="1:31" s="54" customFormat="1" ht="16.5" customHeight="1">
      <c r="A30" s="138"/>
      <c r="B30" s="136">
        <v>27</v>
      </c>
      <c r="C30" s="58" t="s">
        <v>234</v>
      </c>
      <c r="D30" s="63" t="s">
        <v>252</v>
      </c>
      <c r="E30" s="53" t="s">
        <v>256</v>
      </c>
      <c r="F30" s="123">
        <v>5</v>
      </c>
      <c r="G30" s="53">
        <v>0</v>
      </c>
      <c r="H30" s="67">
        <v>5</v>
      </c>
      <c r="I30" s="67">
        <v>0</v>
      </c>
      <c r="J30" s="67">
        <v>0</v>
      </c>
      <c r="K30" s="67">
        <v>0</v>
      </c>
      <c r="L30" s="419"/>
      <c r="M30" s="67">
        <v>0</v>
      </c>
      <c r="N30" s="67">
        <v>0</v>
      </c>
      <c r="O30" s="67">
        <v>0</v>
      </c>
      <c r="P30" s="67">
        <v>0</v>
      </c>
      <c r="Q30" s="67">
        <v>0</v>
      </c>
      <c r="R30" s="53">
        <v>0</v>
      </c>
      <c r="S30" s="53"/>
      <c r="T30" s="53"/>
      <c r="U30" s="223">
        <f t="shared" si="2"/>
        <v>5</v>
      </c>
      <c r="V30" s="70">
        <f t="shared" si="1"/>
        <v>0</v>
      </c>
      <c r="W30" s="77"/>
      <c r="X30" s="77"/>
      <c r="Y30" s="46" t="s">
        <v>586</v>
      </c>
      <c r="Z30" s="77"/>
      <c r="AA30" s="251"/>
      <c r="AB30" s="138"/>
      <c r="AC30" s="299">
        <v>5</v>
      </c>
    </row>
    <row r="31" spans="1:31" s="54" customFormat="1" ht="16.5" customHeight="1">
      <c r="A31" s="138"/>
      <c r="B31" s="136">
        <v>28</v>
      </c>
      <c r="C31" s="58" t="s">
        <v>264</v>
      </c>
      <c r="D31" s="63" t="s">
        <v>253</v>
      </c>
      <c r="E31" s="53" t="s">
        <v>519</v>
      </c>
      <c r="F31" s="123">
        <v>1</v>
      </c>
      <c r="G31" s="53">
        <v>0</v>
      </c>
      <c r="H31" s="68">
        <v>1</v>
      </c>
      <c r="I31" s="67">
        <v>0</v>
      </c>
      <c r="J31" s="67">
        <v>0</v>
      </c>
      <c r="K31" s="67">
        <v>0</v>
      </c>
      <c r="L31" s="419"/>
      <c r="M31" s="67">
        <v>0</v>
      </c>
      <c r="N31" s="67">
        <v>0</v>
      </c>
      <c r="O31" s="67">
        <v>0</v>
      </c>
      <c r="P31" s="67">
        <v>0</v>
      </c>
      <c r="Q31" s="67">
        <v>0</v>
      </c>
      <c r="R31" s="53">
        <v>0</v>
      </c>
      <c r="S31" s="53"/>
      <c r="T31" s="53"/>
      <c r="U31" s="223">
        <f t="shared" si="2"/>
        <v>1</v>
      </c>
      <c r="V31" s="53">
        <f t="shared" si="1"/>
        <v>0</v>
      </c>
      <c r="W31" s="77"/>
      <c r="X31" s="77"/>
      <c r="Y31" s="46" t="s">
        <v>585</v>
      </c>
      <c r="Z31" s="77"/>
      <c r="AA31" s="251"/>
      <c r="AB31" s="138"/>
      <c r="AC31" s="299">
        <v>1</v>
      </c>
    </row>
    <row r="32" spans="1:31" s="54" customFormat="1" ht="16.5" customHeight="1">
      <c r="A32" s="138"/>
      <c r="B32" s="136">
        <v>29</v>
      </c>
      <c r="C32" s="58" t="s">
        <v>448</v>
      </c>
      <c r="D32" s="63" t="s">
        <v>254</v>
      </c>
      <c r="E32" s="53" t="s">
        <v>519</v>
      </c>
      <c r="F32" s="123">
        <v>1</v>
      </c>
      <c r="G32" s="53">
        <v>0</v>
      </c>
      <c r="H32" s="68">
        <v>1</v>
      </c>
      <c r="I32" s="67">
        <v>0</v>
      </c>
      <c r="J32" s="67">
        <v>0</v>
      </c>
      <c r="K32" s="67">
        <v>0</v>
      </c>
      <c r="L32" s="419"/>
      <c r="M32" s="67">
        <v>0</v>
      </c>
      <c r="N32" s="67">
        <v>0</v>
      </c>
      <c r="O32" s="67">
        <v>0</v>
      </c>
      <c r="P32" s="67">
        <v>0</v>
      </c>
      <c r="Q32" s="67">
        <v>0</v>
      </c>
      <c r="R32" s="53">
        <v>0</v>
      </c>
      <c r="S32" s="53"/>
      <c r="T32" s="53"/>
      <c r="U32" s="223">
        <f t="shared" si="2"/>
        <v>1</v>
      </c>
      <c r="V32" s="53">
        <f t="shared" si="1"/>
        <v>0</v>
      </c>
      <c r="W32" s="77"/>
      <c r="X32" s="77"/>
      <c r="Y32" s="77"/>
      <c r="Z32" s="77"/>
      <c r="AA32" s="251"/>
      <c r="AB32" s="138"/>
      <c r="AC32" s="299">
        <v>1</v>
      </c>
    </row>
    <row r="33" spans="1:56" s="54" customFormat="1" ht="16.5" customHeight="1">
      <c r="A33" s="138"/>
      <c r="B33" s="136">
        <v>30</v>
      </c>
      <c r="C33" s="58" t="s">
        <v>265</v>
      </c>
      <c r="D33" s="63" t="s">
        <v>603</v>
      </c>
      <c r="E33" s="53" t="s">
        <v>519</v>
      </c>
      <c r="F33" s="123">
        <v>2</v>
      </c>
      <c r="G33" s="53">
        <v>0</v>
      </c>
      <c r="H33" s="68">
        <v>2</v>
      </c>
      <c r="I33" s="67">
        <v>0</v>
      </c>
      <c r="J33" s="67">
        <v>0</v>
      </c>
      <c r="K33" s="67">
        <v>0</v>
      </c>
      <c r="L33" s="419"/>
      <c r="M33" s="67">
        <v>0</v>
      </c>
      <c r="N33" s="67">
        <v>0</v>
      </c>
      <c r="O33" s="67">
        <v>0</v>
      </c>
      <c r="P33" s="67">
        <v>0</v>
      </c>
      <c r="Q33" s="67">
        <v>0</v>
      </c>
      <c r="R33" s="53">
        <v>0</v>
      </c>
      <c r="S33" s="53"/>
      <c r="T33" s="53"/>
      <c r="U33" s="223">
        <f t="shared" si="2"/>
        <v>2</v>
      </c>
      <c r="V33" s="53">
        <f t="shared" si="1"/>
        <v>0</v>
      </c>
      <c r="W33" s="77"/>
      <c r="X33" s="77"/>
      <c r="Y33" s="46" t="s">
        <v>590</v>
      </c>
      <c r="Z33" s="77"/>
      <c r="AA33" s="251"/>
      <c r="AB33" s="138"/>
      <c r="AC33" s="299">
        <v>2</v>
      </c>
    </row>
    <row r="34" spans="1:56" s="154" customFormat="1" ht="16.5" customHeight="1">
      <c r="A34" s="33"/>
      <c r="B34" s="150">
        <v>31</v>
      </c>
      <c r="C34" s="59" t="s">
        <v>266</v>
      </c>
      <c r="D34" s="151" t="s">
        <v>604</v>
      </c>
      <c r="E34" s="152" t="s">
        <v>519</v>
      </c>
      <c r="F34" s="153">
        <v>4</v>
      </c>
      <c r="G34" s="152">
        <v>0</v>
      </c>
      <c r="H34" s="69">
        <v>4</v>
      </c>
      <c r="I34" s="69">
        <v>0</v>
      </c>
      <c r="J34" s="67">
        <v>0</v>
      </c>
      <c r="K34" s="67">
        <v>0</v>
      </c>
      <c r="L34" s="419"/>
      <c r="M34" s="69">
        <v>0</v>
      </c>
      <c r="N34" s="69">
        <v>0</v>
      </c>
      <c r="O34" s="67">
        <v>0</v>
      </c>
      <c r="P34" s="67">
        <v>0</v>
      </c>
      <c r="Q34" s="67">
        <v>0</v>
      </c>
      <c r="R34" s="152">
        <v>0</v>
      </c>
      <c r="S34" s="152"/>
      <c r="T34" s="152"/>
      <c r="U34" s="223">
        <f t="shared" si="2"/>
        <v>4</v>
      </c>
      <c r="V34" s="152">
        <f t="shared" si="1"/>
        <v>0</v>
      </c>
      <c r="W34" s="152"/>
      <c r="X34" s="152"/>
      <c r="Y34" s="142" t="s">
        <v>590</v>
      </c>
      <c r="Z34" s="142"/>
      <c r="AA34" s="254"/>
      <c r="AB34" s="33"/>
      <c r="AC34" s="300">
        <v>4</v>
      </c>
    </row>
    <row r="35" spans="1:56" s="54" customFormat="1" ht="16.5" customHeight="1">
      <c r="A35" s="138"/>
      <c r="B35" s="136">
        <v>32</v>
      </c>
      <c r="C35" s="58" t="s">
        <v>268</v>
      </c>
      <c r="D35" s="63" t="s">
        <v>267</v>
      </c>
      <c r="E35" s="53" t="s">
        <v>519</v>
      </c>
      <c r="F35" s="123">
        <v>2</v>
      </c>
      <c r="G35" s="53">
        <v>0</v>
      </c>
      <c r="H35" s="68">
        <v>2</v>
      </c>
      <c r="I35" s="67">
        <v>0</v>
      </c>
      <c r="J35" s="67">
        <v>0</v>
      </c>
      <c r="K35" s="67">
        <v>0</v>
      </c>
      <c r="L35" s="419"/>
      <c r="M35" s="67">
        <v>0</v>
      </c>
      <c r="N35" s="67">
        <v>0</v>
      </c>
      <c r="O35" s="67">
        <v>0</v>
      </c>
      <c r="P35" s="67">
        <v>0</v>
      </c>
      <c r="Q35" s="67">
        <v>0</v>
      </c>
      <c r="R35" s="53">
        <v>0</v>
      </c>
      <c r="S35" s="53"/>
      <c r="T35" s="53"/>
      <c r="U35" s="223">
        <f t="shared" si="2"/>
        <v>2</v>
      </c>
      <c r="V35" s="53">
        <f t="shared" si="1"/>
        <v>0</v>
      </c>
      <c r="W35" s="77"/>
      <c r="X35" s="77"/>
      <c r="Y35" s="46" t="s">
        <v>590</v>
      </c>
      <c r="Z35" s="77"/>
      <c r="AA35" s="251"/>
      <c r="AB35" s="138"/>
      <c r="AC35" s="299">
        <v>2</v>
      </c>
    </row>
    <row r="36" spans="1:56" s="54" customFormat="1" ht="16.5" customHeight="1">
      <c r="A36" s="138"/>
      <c r="B36" s="136">
        <v>33</v>
      </c>
      <c r="C36" s="57" t="s">
        <v>270</v>
      </c>
      <c r="D36" s="58" t="s">
        <v>783</v>
      </c>
      <c r="E36" s="53" t="s">
        <v>519</v>
      </c>
      <c r="F36" s="124">
        <v>2</v>
      </c>
      <c r="G36" s="53">
        <v>0</v>
      </c>
      <c r="H36" s="68">
        <v>2</v>
      </c>
      <c r="I36" s="67">
        <v>0</v>
      </c>
      <c r="J36" s="67">
        <v>0</v>
      </c>
      <c r="K36" s="67">
        <v>0</v>
      </c>
      <c r="L36" s="419"/>
      <c r="M36" s="67">
        <v>0</v>
      </c>
      <c r="N36" s="67">
        <v>0</v>
      </c>
      <c r="O36" s="67">
        <v>0</v>
      </c>
      <c r="P36" s="67">
        <v>0</v>
      </c>
      <c r="Q36" s="67">
        <v>0</v>
      </c>
      <c r="R36" s="53">
        <v>0</v>
      </c>
      <c r="S36" s="53"/>
      <c r="T36" s="53"/>
      <c r="U36" s="223">
        <f t="shared" si="2"/>
        <v>2</v>
      </c>
      <c r="V36" s="53">
        <f t="shared" si="1"/>
        <v>0</v>
      </c>
      <c r="W36" s="77"/>
      <c r="X36" s="77"/>
      <c r="Y36" s="46" t="s">
        <v>590</v>
      </c>
      <c r="Z36" s="77"/>
      <c r="AA36" s="251"/>
      <c r="AB36" s="138"/>
      <c r="AC36" s="53">
        <v>2</v>
      </c>
    </row>
    <row r="37" spans="1:56" s="54" customFormat="1" ht="16.5" customHeight="1">
      <c r="A37" s="138"/>
      <c r="B37" s="136">
        <v>34</v>
      </c>
      <c r="C37" s="58" t="s">
        <v>271</v>
      </c>
      <c r="D37" s="63" t="s">
        <v>272</v>
      </c>
      <c r="E37" s="53" t="s">
        <v>519</v>
      </c>
      <c r="F37" s="123">
        <v>2</v>
      </c>
      <c r="G37" s="53">
        <v>0</v>
      </c>
      <c r="H37" s="68">
        <v>2</v>
      </c>
      <c r="I37" s="67">
        <v>0</v>
      </c>
      <c r="J37" s="67">
        <v>0</v>
      </c>
      <c r="K37" s="67">
        <v>0</v>
      </c>
      <c r="L37" s="419"/>
      <c r="M37" s="67">
        <v>0</v>
      </c>
      <c r="N37" s="67">
        <v>0</v>
      </c>
      <c r="O37" s="67">
        <v>0</v>
      </c>
      <c r="P37" s="67">
        <v>0</v>
      </c>
      <c r="Q37" s="67">
        <v>0</v>
      </c>
      <c r="R37" s="53">
        <v>0</v>
      </c>
      <c r="S37" s="53"/>
      <c r="T37" s="53"/>
      <c r="U37" s="223">
        <f t="shared" si="2"/>
        <v>2</v>
      </c>
      <c r="V37" s="53">
        <f t="shared" si="1"/>
        <v>0</v>
      </c>
      <c r="W37" s="77"/>
      <c r="X37" s="77"/>
      <c r="Y37" s="46" t="s">
        <v>590</v>
      </c>
      <c r="Z37" s="77"/>
      <c r="AA37" s="251"/>
      <c r="AB37" s="138"/>
      <c r="AC37" s="299">
        <v>2</v>
      </c>
    </row>
    <row r="38" spans="1:56" s="54" customFormat="1" ht="16.5" customHeight="1">
      <c r="A38" s="138"/>
      <c r="B38" s="136">
        <v>35</v>
      </c>
      <c r="C38" s="58" t="s">
        <v>243</v>
      </c>
      <c r="D38" s="63" t="s">
        <v>460</v>
      </c>
      <c r="E38" s="53" t="s">
        <v>519</v>
      </c>
      <c r="F38" s="123">
        <v>1</v>
      </c>
      <c r="G38" s="53">
        <v>0</v>
      </c>
      <c r="H38" s="68">
        <v>1</v>
      </c>
      <c r="I38" s="67">
        <v>0</v>
      </c>
      <c r="J38" s="67">
        <v>0</v>
      </c>
      <c r="K38" s="67">
        <v>0</v>
      </c>
      <c r="L38" s="419"/>
      <c r="M38" s="67">
        <v>0</v>
      </c>
      <c r="N38" s="67">
        <v>0</v>
      </c>
      <c r="O38" s="67">
        <v>0</v>
      </c>
      <c r="P38" s="67">
        <v>0</v>
      </c>
      <c r="Q38" s="67">
        <v>0</v>
      </c>
      <c r="R38" s="53">
        <v>0</v>
      </c>
      <c r="S38" s="53"/>
      <c r="T38" s="53"/>
      <c r="U38" s="223">
        <f t="shared" si="2"/>
        <v>1</v>
      </c>
      <c r="V38" s="53">
        <f t="shared" si="1"/>
        <v>0</v>
      </c>
      <c r="W38" s="77"/>
      <c r="X38" s="77"/>
      <c r="Y38" s="46" t="s">
        <v>585</v>
      </c>
      <c r="Z38" s="77"/>
      <c r="AA38" s="251"/>
      <c r="AB38" s="138"/>
      <c r="AC38" s="299">
        <v>1</v>
      </c>
    </row>
    <row r="39" spans="1:56" s="54" customFormat="1" ht="16.5" customHeight="1">
      <c r="A39" s="138"/>
      <c r="B39" s="136">
        <v>36</v>
      </c>
      <c r="C39" s="57" t="s">
        <v>244</v>
      </c>
      <c r="D39" s="58" t="s">
        <v>605</v>
      </c>
      <c r="E39" s="53" t="s">
        <v>519</v>
      </c>
      <c r="F39" s="124">
        <v>2</v>
      </c>
      <c r="G39" s="53">
        <v>0</v>
      </c>
      <c r="H39" s="68">
        <v>2</v>
      </c>
      <c r="I39" s="67">
        <v>0</v>
      </c>
      <c r="J39" s="67">
        <v>0</v>
      </c>
      <c r="K39" s="67">
        <v>0</v>
      </c>
      <c r="L39" s="419"/>
      <c r="M39" s="67">
        <v>0</v>
      </c>
      <c r="N39" s="67">
        <v>0</v>
      </c>
      <c r="O39" s="67">
        <v>0</v>
      </c>
      <c r="P39" s="67">
        <v>0</v>
      </c>
      <c r="Q39" s="67">
        <v>0</v>
      </c>
      <c r="R39" s="53">
        <v>0</v>
      </c>
      <c r="S39" s="53"/>
      <c r="T39" s="53"/>
      <c r="U39" s="223">
        <f t="shared" si="2"/>
        <v>2</v>
      </c>
      <c r="V39" s="53">
        <f t="shared" si="1"/>
        <v>0</v>
      </c>
      <c r="W39" s="77"/>
      <c r="X39" s="77"/>
      <c r="Y39" s="46" t="s">
        <v>585</v>
      </c>
      <c r="Z39" s="77"/>
      <c r="AA39" s="251"/>
      <c r="AB39" s="138"/>
      <c r="AC39" s="53">
        <v>2</v>
      </c>
    </row>
    <row r="40" spans="1:56" s="54" customFormat="1" ht="16.5" customHeight="1">
      <c r="A40" s="138"/>
      <c r="B40" s="136">
        <v>37</v>
      </c>
      <c r="C40" s="57" t="s">
        <v>273</v>
      </c>
      <c r="D40" s="58" t="s">
        <v>606</v>
      </c>
      <c r="E40" s="53" t="s">
        <v>519</v>
      </c>
      <c r="F40" s="124">
        <v>1</v>
      </c>
      <c r="G40" s="53">
        <v>0</v>
      </c>
      <c r="H40" s="68">
        <v>1</v>
      </c>
      <c r="I40" s="67">
        <v>0</v>
      </c>
      <c r="J40" s="67">
        <v>0</v>
      </c>
      <c r="K40" s="67">
        <v>0</v>
      </c>
      <c r="L40" s="419"/>
      <c r="M40" s="67">
        <v>0</v>
      </c>
      <c r="N40" s="67">
        <v>0</v>
      </c>
      <c r="O40" s="67">
        <v>0</v>
      </c>
      <c r="P40" s="67">
        <v>0</v>
      </c>
      <c r="Q40" s="67">
        <v>0</v>
      </c>
      <c r="R40" s="53">
        <v>0</v>
      </c>
      <c r="S40" s="53"/>
      <c r="T40" s="53"/>
      <c r="U40" s="223">
        <f t="shared" si="2"/>
        <v>1</v>
      </c>
      <c r="V40" s="53">
        <f t="shared" si="1"/>
        <v>0</v>
      </c>
      <c r="W40" s="77"/>
      <c r="X40" s="77"/>
      <c r="Y40" s="46" t="s">
        <v>590</v>
      </c>
      <c r="Z40" s="77"/>
      <c r="AA40" s="251"/>
      <c r="AB40" s="138"/>
      <c r="AC40" s="53">
        <v>1</v>
      </c>
    </row>
    <row r="41" spans="1:56" s="129" customFormat="1" ht="26.25" customHeight="1">
      <c r="A41" s="139"/>
      <c r="B41" s="137">
        <v>38</v>
      </c>
      <c r="C41" s="108" t="s">
        <v>274</v>
      </c>
      <c r="D41" s="127" t="s">
        <v>600</v>
      </c>
      <c r="E41" s="56" t="s">
        <v>519</v>
      </c>
      <c r="F41" s="128">
        <v>2</v>
      </c>
      <c r="G41" s="56">
        <v>0</v>
      </c>
      <c r="H41" s="110">
        <v>2</v>
      </c>
      <c r="I41" s="110">
        <v>0</v>
      </c>
      <c r="J41" s="110">
        <v>0</v>
      </c>
      <c r="K41" s="110">
        <v>0</v>
      </c>
      <c r="L41" s="419"/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64">
        <v>1</v>
      </c>
      <c r="S41" s="56" t="s">
        <v>645</v>
      </c>
      <c r="T41" s="56" t="s">
        <v>569</v>
      </c>
      <c r="U41" s="260">
        <f>G41+H41+I41+J41+K41+M41+N41+O41+P41+Q41-R41</f>
        <v>1</v>
      </c>
      <c r="V41" s="56">
        <f t="shared" si="1"/>
        <v>1</v>
      </c>
      <c r="W41" s="103"/>
      <c r="X41" s="103"/>
      <c r="Y41" s="103" t="s">
        <v>590</v>
      </c>
      <c r="Z41" s="155" t="s">
        <v>662</v>
      </c>
      <c r="AA41" s="253" t="s">
        <v>661</v>
      </c>
      <c r="AB41" s="33"/>
      <c r="AC41" s="300">
        <v>2</v>
      </c>
      <c r="AD41" s="154"/>
      <c r="AE41" s="154"/>
      <c r="AF41" s="154"/>
      <c r="AG41" s="154"/>
      <c r="AH41" s="154"/>
      <c r="AI41" s="154"/>
      <c r="AJ41" s="154"/>
      <c r="AK41" s="154"/>
      <c r="AL41" s="154"/>
      <c r="AM41" s="154"/>
      <c r="AN41" s="154"/>
      <c r="AO41" s="154"/>
      <c r="AP41" s="154"/>
      <c r="AQ41" s="154"/>
      <c r="AR41" s="154"/>
      <c r="AS41" s="154"/>
      <c r="AT41" s="154"/>
      <c r="AU41" s="154"/>
      <c r="AV41" s="154"/>
      <c r="AW41" s="154"/>
      <c r="AX41" s="154"/>
      <c r="AY41" s="154"/>
      <c r="AZ41" s="154"/>
      <c r="BA41" s="154"/>
      <c r="BB41" s="154"/>
      <c r="BC41" s="154"/>
      <c r="BD41" s="154"/>
    </row>
    <row r="42" spans="1:56" s="158" customFormat="1" ht="15.75" customHeight="1">
      <c r="A42" s="156"/>
      <c r="B42" s="137">
        <v>39</v>
      </c>
      <c r="C42" s="108" t="s">
        <v>275</v>
      </c>
      <c r="D42" s="109" t="s">
        <v>461</v>
      </c>
      <c r="E42" s="56" t="s">
        <v>519</v>
      </c>
      <c r="F42" s="195">
        <v>1</v>
      </c>
      <c r="G42" s="56">
        <v>0</v>
      </c>
      <c r="H42" s="110">
        <v>1</v>
      </c>
      <c r="I42" s="110">
        <v>0</v>
      </c>
      <c r="J42" s="110">
        <v>0</v>
      </c>
      <c r="K42" s="110">
        <v>0</v>
      </c>
      <c r="L42" s="419"/>
      <c r="M42" s="157">
        <v>1</v>
      </c>
      <c r="N42" s="110">
        <v>0</v>
      </c>
      <c r="O42" s="110">
        <v>0</v>
      </c>
      <c r="P42" s="110">
        <v>0</v>
      </c>
      <c r="Q42" s="110">
        <v>0</v>
      </c>
      <c r="R42" s="164">
        <v>1</v>
      </c>
      <c r="S42" s="56" t="s">
        <v>646</v>
      </c>
      <c r="T42" s="56" t="s">
        <v>551</v>
      </c>
      <c r="U42" s="260">
        <f>G42+H42+I42+M42+N42-R42</f>
        <v>1</v>
      </c>
      <c r="V42" s="56">
        <f t="shared" si="1"/>
        <v>0</v>
      </c>
      <c r="W42" s="103">
        <v>1000845827</v>
      </c>
      <c r="X42" s="103">
        <v>1000712624</v>
      </c>
      <c r="Y42" s="103" t="s">
        <v>591</v>
      </c>
      <c r="Z42" s="112" t="s">
        <v>664</v>
      </c>
      <c r="AA42" s="253" t="s">
        <v>663</v>
      </c>
      <c r="AB42" s="33"/>
      <c r="AC42" s="296">
        <v>1</v>
      </c>
      <c r="AD42" s="154"/>
      <c r="AE42" s="154"/>
      <c r="AF42" s="154"/>
      <c r="AG42" s="154"/>
      <c r="AH42" s="154"/>
      <c r="AI42" s="154"/>
      <c r="AJ42" s="154"/>
      <c r="AK42" s="154"/>
      <c r="AL42" s="154"/>
      <c r="AM42" s="154"/>
      <c r="AN42" s="154"/>
      <c r="AO42" s="154"/>
      <c r="AP42" s="154"/>
      <c r="AQ42" s="154"/>
      <c r="AR42" s="154"/>
      <c r="AS42" s="154"/>
      <c r="AT42" s="154"/>
      <c r="AU42" s="154"/>
      <c r="AV42" s="154"/>
      <c r="AW42" s="154"/>
      <c r="AX42" s="154"/>
      <c r="AY42" s="154"/>
      <c r="AZ42" s="154"/>
      <c r="BA42" s="154"/>
      <c r="BB42" s="154"/>
      <c r="BC42" s="154"/>
      <c r="BD42" s="154"/>
    </row>
    <row r="43" spans="1:56" s="113" customFormat="1" ht="15.75">
      <c r="A43" s="140"/>
      <c r="B43" s="137">
        <v>40</v>
      </c>
      <c r="C43" s="108" t="s">
        <v>239</v>
      </c>
      <c r="D43" s="109" t="s">
        <v>255</v>
      </c>
      <c r="E43" s="56" t="s">
        <v>519</v>
      </c>
      <c r="F43" s="117">
        <v>3</v>
      </c>
      <c r="G43" s="56">
        <v>0</v>
      </c>
      <c r="H43" s="110">
        <v>1</v>
      </c>
      <c r="I43" s="110">
        <v>1</v>
      </c>
      <c r="J43" s="110">
        <v>1</v>
      </c>
      <c r="K43" s="110">
        <v>0</v>
      </c>
      <c r="L43" s="419"/>
      <c r="M43" s="157">
        <v>1</v>
      </c>
      <c r="N43" s="157">
        <v>1</v>
      </c>
      <c r="O43" s="110">
        <v>0</v>
      </c>
      <c r="P43" s="110">
        <v>0</v>
      </c>
      <c r="Q43" s="110">
        <v>0</v>
      </c>
      <c r="R43" s="164">
        <v>5</v>
      </c>
      <c r="S43" s="111" t="s">
        <v>546</v>
      </c>
      <c r="T43" s="111" t="s">
        <v>541</v>
      </c>
      <c r="U43" s="260">
        <f>G43+H43+I43+J43+M43+N43-R43</f>
        <v>0</v>
      </c>
      <c r="V43" s="56">
        <f t="shared" si="1"/>
        <v>3</v>
      </c>
      <c r="W43" s="112" t="s">
        <v>542</v>
      </c>
      <c r="X43" s="112" t="s">
        <v>543</v>
      </c>
      <c r="Y43" s="103" t="s">
        <v>592</v>
      </c>
      <c r="Z43" s="112" t="s">
        <v>666</v>
      </c>
      <c r="AA43" s="253" t="s">
        <v>665</v>
      </c>
      <c r="AB43" s="259"/>
      <c r="AC43" s="69">
        <v>3</v>
      </c>
      <c r="AD43" s="196"/>
      <c r="AE43" s="196"/>
      <c r="AF43" s="196"/>
      <c r="AG43" s="196"/>
      <c r="AH43" s="196"/>
      <c r="AI43" s="196"/>
      <c r="AJ43" s="196"/>
      <c r="AK43" s="196"/>
      <c r="AL43" s="196"/>
      <c r="AM43" s="196"/>
      <c r="AN43" s="196"/>
      <c r="AO43" s="196"/>
      <c r="AP43" s="196"/>
      <c r="AQ43" s="196"/>
      <c r="AR43" s="196"/>
      <c r="AS43" s="196"/>
      <c r="AT43" s="196"/>
      <c r="AU43" s="196"/>
      <c r="AV43" s="196"/>
      <c r="AW43" s="196"/>
      <c r="AX43" s="196"/>
      <c r="AY43" s="196"/>
      <c r="AZ43" s="196"/>
      <c r="BA43" s="196"/>
      <c r="BB43" s="196"/>
      <c r="BC43" s="196"/>
      <c r="BD43" s="196"/>
    </row>
    <row r="44" spans="1:56" ht="16.5" customHeight="1">
      <c r="B44" s="136">
        <v>41</v>
      </c>
      <c r="C44" s="57" t="s">
        <v>462</v>
      </c>
      <c r="D44" s="60" t="s">
        <v>463</v>
      </c>
      <c r="E44" s="53" t="s">
        <v>519</v>
      </c>
      <c r="F44" s="125">
        <v>7</v>
      </c>
      <c r="G44" s="78">
        <v>0</v>
      </c>
      <c r="H44" s="78">
        <v>0</v>
      </c>
      <c r="I44" s="78">
        <v>7</v>
      </c>
      <c r="J44" s="67">
        <v>0</v>
      </c>
      <c r="K44" s="67">
        <v>0</v>
      </c>
      <c r="L44" s="419"/>
      <c r="M44" s="144">
        <v>0</v>
      </c>
      <c r="N44" s="144">
        <v>0</v>
      </c>
      <c r="O44" s="144">
        <v>0</v>
      </c>
      <c r="P44" s="67">
        <v>0</v>
      </c>
      <c r="Q44" s="67">
        <v>0</v>
      </c>
      <c r="R44" s="53">
        <v>0</v>
      </c>
      <c r="S44" s="53"/>
      <c r="T44" s="53"/>
      <c r="U44" s="223">
        <f>G44+H44+I44-R44</f>
        <v>7</v>
      </c>
      <c r="V44" s="53">
        <f t="shared" si="1"/>
        <v>0</v>
      </c>
      <c r="W44" s="77"/>
      <c r="X44" s="77"/>
      <c r="Y44" s="77" t="s">
        <v>593</v>
      </c>
      <c r="Z44" s="77"/>
      <c r="AA44" s="255"/>
      <c r="AC44" s="55">
        <v>7</v>
      </c>
    </row>
    <row r="45" spans="1:56" ht="16.5" customHeight="1">
      <c r="B45" s="137">
        <v>42</v>
      </c>
      <c r="C45" s="233" t="s">
        <v>765</v>
      </c>
      <c r="D45" s="233" t="s">
        <v>607</v>
      </c>
      <c r="E45" s="56" t="s">
        <v>519</v>
      </c>
      <c r="F45" s="234">
        <v>9</v>
      </c>
      <c r="G45" s="232">
        <v>0</v>
      </c>
      <c r="H45" s="232">
        <v>0</v>
      </c>
      <c r="I45" s="110">
        <v>2</v>
      </c>
      <c r="J45" s="110">
        <v>0</v>
      </c>
      <c r="K45" s="110">
        <v>7</v>
      </c>
      <c r="L45" s="419"/>
      <c r="M45" s="232">
        <v>0</v>
      </c>
      <c r="N45" s="232">
        <v>0</v>
      </c>
      <c r="O45" s="232">
        <v>0</v>
      </c>
      <c r="P45" s="110">
        <v>0</v>
      </c>
      <c r="Q45" s="157">
        <v>1</v>
      </c>
      <c r="R45" s="164">
        <v>1</v>
      </c>
      <c r="S45" s="56" t="s">
        <v>700</v>
      </c>
      <c r="T45" s="56" t="s">
        <v>701</v>
      </c>
      <c r="U45" s="260">
        <f>G45+H45+I45+J45+K45+M45+N45+O45+P45+Q45-R45</f>
        <v>9</v>
      </c>
      <c r="V45" s="56">
        <f t="shared" si="1"/>
        <v>0</v>
      </c>
      <c r="W45" s="103"/>
      <c r="X45" s="103"/>
      <c r="Y45" s="103" t="s">
        <v>593</v>
      </c>
      <c r="Z45" s="103" t="s">
        <v>708</v>
      </c>
      <c r="AA45" s="256" t="s">
        <v>702</v>
      </c>
      <c r="AC45" s="301">
        <v>9</v>
      </c>
    </row>
    <row r="46" spans="1:56" ht="16.5" customHeight="1">
      <c r="B46" s="244">
        <v>43</v>
      </c>
      <c r="C46" s="245" t="s">
        <v>465</v>
      </c>
      <c r="D46" s="245" t="s">
        <v>464</v>
      </c>
      <c r="E46" s="124" t="s">
        <v>449</v>
      </c>
      <c r="F46" s="124" t="s">
        <v>449</v>
      </c>
      <c r="G46" s="124" t="s">
        <v>449</v>
      </c>
      <c r="H46" s="124" t="s">
        <v>449</v>
      </c>
      <c r="I46" s="124" t="s">
        <v>449</v>
      </c>
      <c r="J46" s="118">
        <v>0</v>
      </c>
      <c r="K46" s="118">
        <v>0</v>
      </c>
      <c r="L46" s="419"/>
      <c r="M46" s="125">
        <v>0</v>
      </c>
      <c r="N46" s="125">
        <v>0</v>
      </c>
      <c r="O46" s="125">
        <v>0</v>
      </c>
      <c r="P46" s="118">
        <v>0</v>
      </c>
      <c r="Q46" s="118">
        <v>0</v>
      </c>
      <c r="R46" s="124">
        <v>0</v>
      </c>
      <c r="S46" s="124"/>
      <c r="T46" s="124"/>
      <c r="U46" s="243" t="s">
        <v>449</v>
      </c>
      <c r="V46" s="124" t="s">
        <v>449</v>
      </c>
      <c r="W46" s="118"/>
      <c r="X46" s="118"/>
      <c r="Y46" s="118"/>
      <c r="Z46" s="118"/>
      <c r="AA46" s="257"/>
      <c r="AC46" s="53" t="s">
        <v>449</v>
      </c>
    </row>
    <row r="47" spans="1:56" ht="16.5" customHeight="1">
      <c r="B47" s="136" t="s">
        <v>497</v>
      </c>
      <c r="C47" s="60" t="s">
        <v>237</v>
      </c>
      <c r="D47" s="60" t="s">
        <v>466</v>
      </c>
      <c r="E47" s="53" t="s">
        <v>519</v>
      </c>
      <c r="F47" s="125">
        <v>1</v>
      </c>
      <c r="G47" s="78">
        <v>0</v>
      </c>
      <c r="H47" s="42">
        <v>0</v>
      </c>
      <c r="I47" s="42">
        <v>1</v>
      </c>
      <c r="J47" s="67">
        <v>0</v>
      </c>
      <c r="K47" s="67">
        <v>0</v>
      </c>
      <c r="L47" s="419"/>
      <c r="M47" s="144">
        <v>0</v>
      </c>
      <c r="N47" s="144">
        <v>0</v>
      </c>
      <c r="O47" s="144">
        <v>0</v>
      </c>
      <c r="P47" s="67">
        <v>0</v>
      </c>
      <c r="Q47" s="67">
        <v>0</v>
      </c>
      <c r="R47" s="53">
        <v>0</v>
      </c>
      <c r="S47" s="53"/>
      <c r="T47" s="53"/>
      <c r="U47" s="223">
        <f t="shared" ref="U47:U69" si="3">G47+H47+I47-R47</f>
        <v>1</v>
      </c>
      <c r="V47" s="53">
        <f t="shared" ref="V47:V96" si="4">F47-U47</f>
        <v>0</v>
      </c>
      <c r="W47" s="77"/>
      <c r="X47" s="77"/>
      <c r="Y47" s="77"/>
      <c r="Z47" s="77"/>
      <c r="AA47" s="255"/>
      <c r="AC47" s="55">
        <v>1</v>
      </c>
    </row>
    <row r="48" spans="1:56" ht="27" customHeight="1">
      <c r="B48" s="136" t="s">
        <v>498</v>
      </c>
      <c r="C48" s="60" t="s">
        <v>467</v>
      </c>
      <c r="D48" s="64" t="s">
        <v>468</v>
      </c>
      <c r="E48" s="42" t="s">
        <v>520</v>
      </c>
      <c r="F48" s="124">
        <v>0.5</v>
      </c>
      <c r="G48" s="42">
        <v>0</v>
      </c>
      <c r="H48" s="42">
        <v>0</v>
      </c>
      <c r="I48" s="42">
        <v>0.5</v>
      </c>
      <c r="J48" s="67">
        <v>0</v>
      </c>
      <c r="K48" s="67">
        <v>0</v>
      </c>
      <c r="L48" s="419"/>
      <c r="M48" s="144">
        <v>0</v>
      </c>
      <c r="N48" s="144">
        <v>0</v>
      </c>
      <c r="O48" s="144">
        <v>0</v>
      </c>
      <c r="P48" s="67">
        <v>0</v>
      </c>
      <c r="Q48" s="67">
        <v>0</v>
      </c>
      <c r="R48" s="53">
        <v>0</v>
      </c>
      <c r="S48" s="53"/>
      <c r="T48" s="53"/>
      <c r="U48" s="223">
        <f t="shared" si="3"/>
        <v>0.5</v>
      </c>
      <c r="V48" s="53">
        <f t="shared" si="4"/>
        <v>0</v>
      </c>
      <c r="W48" s="77"/>
      <c r="X48" s="77"/>
      <c r="Y48" s="77"/>
      <c r="Z48" s="77"/>
      <c r="AA48" s="255"/>
      <c r="AC48" s="53">
        <v>0.5</v>
      </c>
    </row>
    <row r="49" spans="2:29" ht="27" customHeight="1">
      <c r="B49" s="136" t="s">
        <v>499</v>
      </c>
      <c r="C49" s="60" t="s">
        <v>469</v>
      </c>
      <c r="D49" s="64" t="s">
        <v>521</v>
      </c>
      <c r="E49" s="53" t="s">
        <v>519</v>
      </c>
      <c r="F49" s="124">
        <v>4</v>
      </c>
      <c r="G49" s="42">
        <v>0</v>
      </c>
      <c r="H49" s="42">
        <v>0</v>
      </c>
      <c r="I49" s="42">
        <v>4</v>
      </c>
      <c r="J49" s="67">
        <v>0</v>
      </c>
      <c r="K49" s="67">
        <v>0</v>
      </c>
      <c r="L49" s="419"/>
      <c r="M49" s="144">
        <v>0</v>
      </c>
      <c r="N49" s="144">
        <v>0</v>
      </c>
      <c r="O49" s="144">
        <v>0</v>
      </c>
      <c r="P49" s="67">
        <v>0</v>
      </c>
      <c r="Q49" s="67">
        <v>0</v>
      </c>
      <c r="R49" s="53">
        <v>0</v>
      </c>
      <c r="S49" s="53"/>
      <c r="T49" s="53"/>
      <c r="U49" s="223">
        <f t="shared" si="3"/>
        <v>4</v>
      </c>
      <c r="V49" s="53">
        <f t="shared" si="4"/>
        <v>0</v>
      </c>
      <c r="W49" s="77"/>
      <c r="X49" s="77"/>
      <c r="Y49" s="77"/>
      <c r="Z49" s="77"/>
      <c r="AA49" s="255"/>
      <c r="AC49" s="53">
        <v>4</v>
      </c>
    </row>
    <row r="50" spans="2:29" ht="16.5" customHeight="1">
      <c r="B50" s="136" t="s">
        <v>500</v>
      </c>
      <c r="C50" s="60" t="s">
        <v>470</v>
      </c>
      <c r="D50" s="60" t="s">
        <v>471</v>
      </c>
      <c r="E50" s="53" t="s">
        <v>519</v>
      </c>
      <c r="F50" s="124">
        <v>2</v>
      </c>
      <c r="G50" s="78">
        <v>0</v>
      </c>
      <c r="H50" s="42">
        <v>0</v>
      </c>
      <c r="I50" s="42">
        <v>2</v>
      </c>
      <c r="J50" s="67">
        <v>0</v>
      </c>
      <c r="K50" s="67">
        <v>0</v>
      </c>
      <c r="L50" s="419"/>
      <c r="M50" s="144">
        <v>0</v>
      </c>
      <c r="N50" s="144">
        <v>0</v>
      </c>
      <c r="O50" s="144">
        <v>0</v>
      </c>
      <c r="P50" s="67">
        <v>0</v>
      </c>
      <c r="Q50" s="67">
        <v>0</v>
      </c>
      <c r="R50" s="53">
        <v>0</v>
      </c>
      <c r="S50" s="53"/>
      <c r="T50" s="53"/>
      <c r="U50" s="223">
        <f t="shared" si="3"/>
        <v>2</v>
      </c>
      <c r="V50" s="53">
        <f t="shared" si="4"/>
        <v>0</v>
      </c>
      <c r="W50" s="77"/>
      <c r="X50" s="77"/>
      <c r="Y50" s="77" t="s">
        <v>592</v>
      </c>
      <c r="Z50" s="77"/>
      <c r="AA50" s="255"/>
      <c r="AC50" s="53">
        <v>2</v>
      </c>
    </row>
    <row r="51" spans="2:29" ht="16.5" customHeight="1">
      <c r="B51" s="136" t="s">
        <v>501</v>
      </c>
      <c r="C51" s="60" t="s">
        <v>472</v>
      </c>
      <c r="D51" s="60" t="s">
        <v>473</v>
      </c>
      <c r="E51" s="53" t="s">
        <v>519</v>
      </c>
      <c r="F51" s="124">
        <v>2</v>
      </c>
      <c r="G51" s="78">
        <v>0</v>
      </c>
      <c r="H51" s="42">
        <v>0</v>
      </c>
      <c r="I51" s="42">
        <v>2</v>
      </c>
      <c r="J51" s="67">
        <v>0</v>
      </c>
      <c r="K51" s="67">
        <v>0</v>
      </c>
      <c r="L51" s="419"/>
      <c r="M51" s="144">
        <v>0</v>
      </c>
      <c r="N51" s="144">
        <v>0</v>
      </c>
      <c r="O51" s="144">
        <v>0</v>
      </c>
      <c r="P51" s="67">
        <v>0</v>
      </c>
      <c r="Q51" s="67">
        <v>0</v>
      </c>
      <c r="R51" s="53">
        <v>0</v>
      </c>
      <c r="S51" s="53"/>
      <c r="T51" s="53"/>
      <c r="U51" s="223">
        <f t="shared" si="3"/>
        <v>2</v>
      </c>
      <c r="V51" s="53">
        <f t="shared" si="4"/>
        <v>0</v>
      </c>
      <c r="W51" s="77"/>
      <c r="X51" s="77"/>
      <c r="Y51" s="77" t="s">
        <v>592</v>
      </c>
      <c r="Z51" s="77"/>
      <c r="AA51" s="255"/>
      <c r="AC51" s="53">
        <v>2</v>
      </c>
    </row>
    <row r="52" spans="2:29" ht="16.5" customHeight="1">
      <c r="B52" s="136" t="s">
        <v>502</v>
      </c>
      <c r="C52" s="60" t="s">
        <v>474</v>
      </c>
      <c r="D52" s="64" t="s">
        <v>475</v>
      </c>
      <c r="E52" s="53" t="s">
        <v>519</v>
      </c>
      <c r="F52" s="124">
        <v>7</v>
      </c>
      <c r="G52" s="78">
        <v>0</v>
      </c>
      <c r="H52" s="42">
        <v>0</v>
      </c>
      <c r="I52" s="42">
        <v>7</v>
      </c>
      <c r="J52" s="67">
        <v>0</v>
      </c>
      <c r="K52" s="67">
        <v>0</v>
      </c>
      <c r="L52" s="419"/>
      <c r="M52" s="144">
        <v>0</v>
      </c>
      <c r="N52" s="144">
        <v>0</v>
      </c>
      <c r="O52" s="144">
        <v>0</v>
      </c>
      <c r="P52" s="67">
        <v>0</v>
      </c>
      <c r="Q52" s="67">
        <v>0</v>
      </c>
      <c r="R52" s="53">
        <v>0</v>
      </c>
      <c r="S52" s="53"/>
      <c r="T52" s="53"/>
      <c r="U52" s="223">
        <f t="shared" si="3"/>
        <v>7</v>
      </c>
      <c r="V52" s="53">
        <f t="shared" si="4"/>
        <v>0</v>
      </c>
      <c r="W52" s="77"/>
      <c r="X52" s="77"/>
      <c r="Y52" s="77" t="s">
        <v>592</v>
      </c>
      <c r="Z52" s="77"/>
      <c r="AA52" s="255"/>
      <c r="AC52" s="53">
        <v>7</v>
      </c>
    </row>
    <row r="53" spans="2:29" ht="16.5" customHeight="1">
      <c r="B53" s="136" t="s">
        <v>503</v>
      </c>
      <c r="C53" s="60" t="s">
        <v>476</v>
      </c>
      <c r="D53" s="64" t="s">
        <v>477</v>
      </c>
      <c r="E53" s="53" t="s">
        <v>519</v>
      </c>
      <c r="F53" s="124">
        <v>7</v>
      </c>
      <c r="G53" s="78">
        <v>0</v>
      </c>
      <c r="H53" s="42">
        <v>0</v>
      </c>
      <c r="I53" s="42">
        <v>7</v>
      </c>
      <c r="J53" s="67">
        <v>0</v>
      </c>
      <c r="K53" s="67">
        <v>0</v>
      </c>
      <c r="L53" s="419"/>
      <c r="M53" s="144">
        <v>0</v>
      </c>
      <c r="N53" s="144">
        <v>0</v>
      </c>
      <c r="O53" s="144">
        <v>0</v>
      </c>
      <c r="P53" s="67">
        <v>0</v>
      </c>
      <c r="Q53" s="67">
        <v>0</v>
      </c>
      <c r="R53" s="53">
        <v>0</v>
      </c>
      <c r="S53" s="53"/>
      <c r="T53" s="53"/>
      <c r="U53" s="223">
        <f t="shared" si="3"/>
        <v>7</v>
      </c>
      <c r="V53" s="53">
        <f t="shared" si="4"/>
        <v>0</v>
      </c>
      <c r="W53" s="77"/>
      <c r="X53" s="77"/>
      <c r="Y53" s="77" t="s">
        <v>592</v>
      </c>
      <c r="Z53" s="77"/>
      <c r="AA53" s="255"/>
      <c r="AC53" s="53">
        <v>7</v>
      </c>
    </row>
    <row r="54" spans="2:29" ht="16.5" customHeight="1">
      <c r="B54" s="136" t="s">
        <v>547</v>
      </c>
      <c r="C54" s="60" t="s">
        <v>478</v>
      </c>
      <c r="D54" s="64" t="s">
        <v>479</v>
      </c>
      <c r="E54" s="53" t="s">
        <v>519</v>
      </c>
      <c r="F54" s="124">
        <v>12</v>
      </c>
      <c r="G54" s="78">
        <v>0</v>
      </c>
      <c r="H54" s="42">
        <v>0</v>
      </c>
      <c r="I54" s="42">
        <v>12</v>
      </c>
      <c r="J54" s="67">
        <v>0</v>
      </c>
      <c r="K54" s="67">
        <v>0</v>
      </c>
      <c r="L54" s="419"/>
      <c r="M54" s="144">
        <v>0</v>
      </c>
      <c r="N54" s="144">
        <v>0</v>
      </c>
      <c r="O54" s="144">
        <v>0</v>
      </c>
      <c r="P54" s="67">
        <v>0</v>
      </c>
      <c r="Q54" s="67">
        <v>0</v>
      </c>
      <c r="R54" s="53">
        <v>0</v>
      </c>
      <c r="S54" s="53"/>
      <c r="T54" s="53"/>
      <c r="U54" s="223">
        <f t="shared" si="3"/>
        <v>12</v>
      </c>
      <c r="V54" s="53">
        <f t="shared" si="4"/>
        <v>0</v>
      </c>
      <c r="W54" s="77"/>
      <c r="X54" s="77"/>
      <c r="Y54" s="77" t="s">
        <v>592</v>
      </c>
      <c r="Z54" s="77"/>
      <c r="AA54" s="255"/>
      <c r="AC54" s="53">
        <v>12</v>
      </c>
    </row>
    <row r="55" spans="2:29" ht="16.5" customHeight="1">
      <c r="B55" s="136" t="s">
        <v>504</v>
      </c>
      <c r="C55" s="60" t="s">
        <v>238</v>
      </c>
      <c r="D55" s="64" t="s">
        <v>263</v>
      </c>
      <c r="E55" s="53" t="s">
        <v>519</v>
      </c>
      <c r="F55" s="124">
        <v>1</v>
      </c>
      <c r="G55" s="78">
        <v>0</v>
      </c>
      <c r="H55" s="42">
        <v>0</v>
      </c>
      <c r="I55" s="42">
        <v>1</v>
      </c>
      <c r="J55" s="67">
        <v>0</v>
      </c>
      <c r="K55" s="67">
        <v>0</v>
      </c>
      <c r="L55" s="419"/>
      <c r="M55" s="144">
        <v>0</v>
      </c>
      <c r="N55" s="144">
        <v>0</v>
      </c>
      <c r="O55" s="144">
        <v>0</v>
      </c>
      <c r="P55" s="67">
        <v>0</v>
      </c>
      <c r="Q55" s="67">
        <v>0</v>
      </c>
      <c r="R55" s="53">
        <v>0</v>
      </c>
      <c r="S55" s="53"/>
      <c r="T55" s="53"/>
      <c r="U55" s="223">
        <f t="shared" si="3"/>
        <v>1</v>
      </c>
      <c r="V55" s="53">
        <f t="shared" si="4"/>
        <v>0</v>
      </c>
      <c r="W55" s="77"/>
      <c r="X55" s="77"/>
      <c r="Y55" s="77"/>
      <c r="Z55" s="77"/>
      <c r="AA55" s="255"/>
      <c r="AC55" s="53">
        <v>1</v>
      </c>
    </row>
    <row r="56" spans="2:29" ht="16.5" customHeight="1">
      <c r="B56" s="136" t="s">
        <v>505</v>
      </c>
      <c r="C56" s="60" t="s">
        <v>480</v>
      </c>
      <c r="D56" s="64" t="s">
        <v>481</v>
      </c>
      <c r="E56" s="53" t="s">
        <v>519</v>
      </c>
      <c r="F56" s="124">
        <v>8</v>
      </c>
      <c r="G56" s="78">
        <v>0</v>
      </c>
      <c r="H56" s="42">
        <v>0</v>
      </c>
      <c r="I56" s="42">
        <v>8</v>
      </c>
      <c r="J56" s="67">
        <v>0</v>
      </c>
      <c r="K56" s="67">
        <v>0</v>
      </c>
      <c r="L56" s="419"/>
      <c r="M56" s="144">
        <v>0</v>
      </c>
      <c r="N56" s="144">
        <v>0</v>
      </c>
      <c r="O56" s="144">
        <v>0</v>
      </c>
      <c r="P56" s="67">
        <v>0</v>
      </c>
      <c r="Q56" s="67">
        <v>0</v>
      </c>
      <c r="R56" s="53">
        <v>0</v>
      </c>
      <c r="S56" s="53"/>
      <c r="T56" s="53"/>
      <c r="U56" s="223">
        <f t="shared" si="3"/>
        <v>8</v>
      </c>
      <c r="V56" s="53">
        <f t="shared" si="4"/>
        <v>0</v>
      </c>
      <c r="W56" s="77"/>
      <c r="X56" s="77"/>
      <c r="Y56" s="77" t="s">
        <v>592</v>
      </c>
      <c r="Z56" s="77"/>
      <c r="AA56" s="255"/>
      <c r="AC56" s="53">
        <v>8</v>
      </c>
    </row>
    <row r="57" spans="2:29" ht="16.5" customHeight="1">
      <c r="B57" s="136" t="s">
        <v>506</v>
      </c>
      <c r="C57" s="60" t="s">
        <v>482</v>
      </c>
      <c r="D57" s="64" t="s">
        <v>483</v>
      </c>
      <c r="E57" s="53" t="s">
        <v>519</v>
      </c>
      <c r="F57" s="124">
        <v>8</v>
      </c>
      <c r="G57" s="78">
        <v>0</v>
      </c>
      <c r="H57" s="42">
        <v>0</v>
      </c>
      <c r="I57" s="42">
        <v>8</v>
      </c>
      <c r="J57" s="67">
        <v>0</v>
      </c>
      <c r="K57" s="67">
        <v>0</v>
      </c>
      <c r="L57" s="419"/>
      <c r="M57" s="144">
        <v>0</v>
      </c>
      <c r="N57" s="144">
        <v>0</v>
      </c>
      <c r="O57" s="144">
        <v>0</v>
      </c>
      <c r="P57" s="67">
        <v>0</v>
      </c>
      <c r="Q57" s="67">
        <v>0</v>
      </c>
      <c r="R57" s="53">
        <v>0</v>
      </c>
      <c r="S57" s="53"/>
      <c r="T57" s="53"/>
      <c r="U57" s="223">
        <f t="shared" si="3"/>
        <v>8</v>
      </c>
      <c r="V57" s="53">
        <f t="shared" si="4"/>
        <v>0</v>
      </c>
      <c r="W57" s="77"/>
      <c r="X57" s="77"/>
      <c r="Y57" s="77" t="s">
        <v>592</v>
      </c>
      <c r="Z57" s="77"/>
      <c r="AA57" s="255"/>
      <c r="AC57" s="53">
        <v>8</v>
      </c>
    </row>
    <row r="58" spans="2:29" ht="16.5" customHeight="1">
      <c r="B58" s="136" t="s">
        <v>507</v>
      </c>
      <c r="C58" s="60" t="s">
        <v>484</v>
      </c>
      <c r="D58" s="64" t="s">
        <v>485</v>
      </c>
      <c r="E58" s="53" t="s">
        <v>519</v>
      </c>
      <c r="F58" s="124">
        <v>4</v>
      </c>
      <c r="G58" s="78">
        <v>0</v>
      </c>
      <c r="H58" s="42">
        <v>0</v>
      </c>
      <c r="I58" s="42">
        <v>4</v>
      </c>
      <c r="J58" s="67">
        <v>0</v>
      </c>
      <c r="K58" s="67">
        <v>0</v>
      </c>
      <c r="L58" s="419"/>
      <c r="M58" s="144">
        <v>0</v>
      </c>
      <c r="N58" s="144">
        <v>0</v>
      </c>
      <c r="O58" s="144">
        <v>0</v>
      </c>
      <c r="P58" s="67">
        <v>0</v>
      </c>
      <c r="Q58" s="67">
        <v>0</v>
      </c>
      <c r="R58" s="53">
        <v>0</v>
      </c>
      <c r="S58" s="53"/>
      <c r="T58" s="53"/>
      <c r="U58" s="223">
        <f t="shared" si="3"/>
        <v>4</v>
      </c>
      <c r="V58" s="53">
        <f t="shared" si="4"/>
        <v>0</v>
      </c>
      <c r="W58" s="77"/>
      <c r="X58" s="77"/>
      <c r="Y58" s="77" t="s">
        <v>592</v>
      </c>
      <c r="Z58" s="77"/>
      <c r="AA58" s="255"/>
      <c r="AC58" s="53">
        <v>4</v>
      </c>
    </row>
    <row r="59" spans="2:29" ht="16.5" customHeight="1">
      <c r="B59" s="136" t="s">
        <v>508</v>
      </c>
      <c r="C59" s="60" t="s">
        <v>486</v>
      </c>
      <c r="D59" s="64" t="s">
        <v>487</v>
      </c>
      <c r="E59" s="53" t="s">
        <v>519</v>
      </c>
      <c r="F59" s="124">
        <v>4</v>
      </c>
      <c r="G59" s="78">
        <v>0</v>
      </c>
      <c r="H59" s="42">
        <v>0</v>
      </c>
      <c r="I59" s="42">
        <v>4</v>
      </c>
      <c r="J59" s="67">
        <v>0</v>
      </c>
      <c r="K59" s="67">
        <v>0</v>
      </c>
      <c r="L59" s="419"/>
      <c r="M59" s="144">
        <v>0</v>
      </c>
      <c r="N59" s="144">
        <v>0</v>
      </c>
      <c r="O59" s="144">
        <v>0</v>
      </c>
      <c r="P59" s="67">
        <v>0</v>
      </c>
      <c r="Q59" s="67">
        <v>0</v>
      </c>
      <c r="R59" s="53">
        <v>0</v>
      </c>
      <c r="S59" s="53"/>
      <c r="T59" s="53"/>
      <c r="U59" s="223">
        <f t="shared" si="3"/>
        <v>4</v>
      </c>
      <c r="V59" s="53">
        <f t="shared" si="4"/>
        <v>0</v>
      </c>
      <c r="W59" s="77"/>
      <c r="X59" s="77"/>
      <c r="Y59" s="77" t="s">
        <v>592</v>
      </c>
      <c r="Z59" s="77"/>
      <c r="AA59" s="255"/>
      <c r="AC59" s="53">
        <v>4</v>
      </c>
    </row>
    <row r="60" spans="2:29" ht="16.5" customHeight="1">
      <c r="B60" s="136" t="s">
        <v>509</v>
      </c>
      <c r="C60" s="60" t="s">
        <v>488</v>
      </c>
      <c r="D60" s="64" t="s">
        <v>489</v>
      </c>
      <c r="E60" s="53" t="s">
        <v>519</v>
      </c>
      <c r="F60" s="124">
        <v>4</v>
      </c>
      <c r="G60" s="78">
        <v>0</v>
      </c>
      <c r="H60" s="42">
        <v>0</v>
      </c>
      <c r="I60" s="42">
        <v>4</v>
      </c>
      <c r="J60" s="67">
        <v>0</v>
      </c>
      <c r="K60" s="67">
        <v>0</v>
      </c>
      <c r="L60" s="419"/>
      <c r="M60" s="144">
        <v>0</v>
      </c>
      <c r="N60" s="144">
        <v>0</v>
      </c>
      <c r="O60" s="144">
        <v>0</v>
      </c>
      <c r="P60" s="67">
        <v>0</v>
      </c>
      <c r="Q60" s="67">
        <v>0</v>
      </c>
      <c r="R60" s="53">
        <v>0</v>
      </c>
      <c r="S60" s="53"/>
      <c r="T60" s="53"/>
      <c r="U60" s="223">
        <f t="shared" si="3"/>
        <v>4</v>
      </c>
      <c r="V60" s="53">
        <f t="shared" si="4"/>
        <v>0</v>
      </c>
      <c r="W60" s="77"/>
      <c r="X60" s="77"/>
      <c r="Y60" s="77" t="s">
        <v>592</v>
      </c>
      <c r="Z60" s="77"/>
      <c r="AA60" s="255"/>
      <c r="AC60" s="53">
        <v>4</v>
      </c>
    </row>
    <row r="61" spans="2:29" ht="16.5" customHeight="1">
      <c r="B61" s="136" t="s">
        <v>510</v>
      </c>
      <c r="C61" s="60" t="s">
        <v>235</v>
      </c>
      <c r="D61" s="64" t="s">
        <v>490</v>
      </c>
      <c r="E61" s="53" t="s">
        <v>519</v>
      </c>
      <c r="F61" s="124">
        <v>1</v>
      </c>
      <c r="G61" s="78">
        <v>0</v>
      </c>
      <c r="H61" s="42">
        <v>0</v>
      </c>
      <c r="I61" s="42">
        <v>1</v>
      </c>
      <c r="J61" s="67">
        <v>0</v>
      </c>
      <c r="K61" s="67">
        <v>0</v>
      </c>
      <c r="L61" s="419"/>
      <c r="M61" s="144">
        <v>0</v>
      </c>
      <c r="N61" s="144">
        <v>0</v>
      </c>
      <c r="O61" s="144">
        <v>0</v>
      </c>
      <c r="P61" s="67">
        <v>0</v>
      </c>
      <c r="Q61" s="67">
        <v>0</v>
      </c>
      <c r="R61" s="53">
        <v>0</v>
      </c>
      <c r="S61" s="53"/>
      <c r="T61" s="53"/>
      <c r="U61" s="223">
        <f t="shared" si="3"/>
        <v>1</v>
      </c>
      <c r="V61" s="53">
        <f t="shared" si="4"/>
        <v>0</v>
      </c>
      <c r="W61" s="77"/>
      <c r="X61" s="77"/>
      <c r="Y61" s="77"/>
      <c r="Z61" s="77"/>
      <c r="AA61" s="255"/>
      <c r="AC61" s="53">
        <v>1</v>
      </c>
    </row>
    <row r="62" spans="2:29" ht="31.5">
      <c r="B62" s="136" t="s">
        <v>511</v>
      </c>
      <c r="C62" s="60" t="s">
        <v>236</v>
      </c>
      <c r="D62" s="64" t="s">
        <v>522</v>
      </c>
      <c r="E62" s="53" t="s">
        <v>519</v>
      </c>
      <c r="F62" s="124">
        <v>1</v>
      </c>
      <c r="G62" s="42">
        <v>0</v>
      </c>
      <c r="H62" s="42">
        <v>0</v>
      </c>
      <c r="I62" s="42">
        <v>1</v>
      </c>
      <c r="J62" s="67">
        <v>0</v>
      </c>
      <c r="K62" s="67">
        <v>0</v>
      </c>
      <c r="L62" s="419"/>
      <c r="M62" s="42">
        <v>0</v>
      </c>
      <c r="N62" s="42">
        <v>0</v>
      </c>
      <c r="O62" s="144">
        <v>0</v>
      </c>
      <c r="P62" s="67">
        <v>0</v>
      </c>
      <c r="Q62" s="67">
        <v>0</v>
      </c>
      <c r="R62" s="53">
        <v>0</v>
      </c>
      <c r="S62" s="53"/>
      <c r="T62" s="53"/>
      <c r="U62" s="223">
        <f t="shared" si="3"/>
        <v>1</v>
      </c>
      <c r="V62" s="53">
        <f t="shared" si="4"/>
        <v>0</v>
      </c>
      <c r="W62" s="77"/>
      <c r="X62" s="77"/>
      <c r="Y62" s="77" t="s">
        <v>592</v>
      </c>
      <c r="Z62" s="77"/>
      <c r="AA62" s="255"/>
      <c r="AC62" s="53">
        <v>1</v>
      </c>
    </row>
    <row r="63" spans="2:29" ht="16.5" customHeight="1">
      <c r="B63" s="136" t="s">
        <v>512</v>
      </c>
      <c r="C63" s="60" t="s">
        <v>491</v>
      </c>
      <c r="D63" s="64" t="s">
        <v>492</v>
      </c>
      <c r="E63" s="53" t="s">
        <v>519</v>
      </c>
      <c r="F63" s="124">
        <v>2</v>
      </c>
      <c r="G63" s="78">
        <v>0</v>
      </c>
      <c r="H63" s="42">
        <v>0</v>
      </c>
      <c r="I63" s="42">
        <v>2</v>
      </c>
      <c r="J63" s="67">
        <v>0</v>
      </c>
      <c r="K63" s="67">
        <v>0</v>
      </c>
      <c r="L63" s="419"/>
      <c r="M63" s="144">
        <v>0</v>
      </c>
      <c r="N63" s="144">
        <v>0</v>
      </c>
      <c r="O63" s="144">
        <v>0</v>
      </c>
      <c r="P63" s="67">
        <v>0</v>
      </c>
      <c r="Q63" s="67">
        <v>0</v>
      </c>
      <c r="R63" s="53">
        <v>0</v>
      </c>
      <c r="S63" s="53"/>
      <c r="T63" s="53"/>
      <c r="U63" s="223">
        <f t="shared" si="3"/>
        <v>2</v>
      </c>
      <c r="V63" s="53">
        <f t="shared" si="4"/>
        <v>0</v>
      </c>
      <c r="W63" s="77"/>
      <c r="X63" s="77"/>
      <c r="Y63" s="77" t="s">
        <v>592</v>
      </c>
      <c r="Z63" s="77"/>
      <c r="AA63" s="255"/>
      <c r="AC63" s="53">
        <v>2</v>
      </c>
    </row>
    <row r="64" spans="2:29" ht="16.5" customHeight="1">
      <c r="B64" s="136" t="s">
        <v>513</v>
      </c>
      <c r="C64" s="60" t="s">
        <v>482</v>
      </c>
      <c r="D64" s="64" t="s">
        <v>483</v>
      </c>
      <c r="E64" s="53" t="s">
        <v>519</v>
      </c>
      <c r="F64" s="124">
        <v>2</v>
      </c>
      <c r="G64" s="78">
        <v>0</v>
      </c>
      <c r="H64" s="42">
        <v>0</v>
      </c>
      <c r="I64" s="42">
        <v>2</v>
      </c>
      <c r="J64" s="67">
        <v>0</v>
      </c>
      <c r="K64" s="67">
        <v>0</v>
      </c>
      <c r="L64" s="419"/>
      <c r="M64" s="144">
        <v>0</v>
      </c>
      <c r="N64" s="144">
        <v>0</v>
      </c>
      <c r="O64" s="144">
        <v>0</v>
      </c>
      <c r="P64" s="67">
        <v>0</v>
      </c>
      <c r="Q64" s="67">
        <v>0</v>
      </c>
      <c r="R64" s="53">
        <v>0</v>
      </c>
      <c r="S64" s="53"/>
      <c r="T64" s="53"/>
      <c r="U64" s="223">
        <f t="shared" si="3"/>
        <v>2</v>
      </c>
      <c r="V64" s="53">
        <f t="shared" si="4"/>
        <v>0</v>
      </c>
      <c r="W64" s="77"/>
      <c r="X64" s="77"/>
      <c r="Y64" s="77" t="s">
        <v>592</v>
      </c>
      <c r="Z64" s="77"/>
      <c r="AA64" s="255"/>
      <c r="AC64" s="53">
        <v>2</v>
      </c>
    </row>
    <row r="65" spans="2:29" ht="16.5" customHeight="1">
      <c r="B65" s="136" t="s">
        <v>514</v>
      </c>
      <c r="C65" s="60" t="s">
        <v>480</v>
      </c>
      <c r="D65" s="64" t="s">
        <v>481</v>
      </c>
      <c r="E65" s="53" t="s">
        <v>519</v>
      </c>
      <c r="F65" s="124">
        <v>2</v>
      </c>
      <c r="G65" s="78">
        <v>0</v>
      </c>
      <c r="H65" s="42">
        <v>0</v>
      </c>
      <c r="I65" s="42">
        <v>2</v>
      </c>
      <c r="J65" s="67">
        <v>0</v>
      </c>
      <c r="K65" s="67">
        <v>0</v>
      </c>
      <c r="L65" s="419"/>
      <c r="M65" s="144">
        <v>0</v>
      </c>
      <c r="N65" s="144">
        <v>0</v>
      </c>
      <c r="O65" s="144">
        <v>0</v>
      </c>
      <c r="P65" s="67">
        <v>0</v>
      </c>
      <c r="Q65" s="67">
        <v>0</v>
      </c>
      <c r="R65" s="53">
        <v>0</v>
      </c>
      <c r="S65" s="53"/>
      <c r="T65" s="53"/>
      <c r="U65" s="223">
        <f t="shared" si="3"/>
        <v>2</v>
      </c>
      <c r="V65" s="53">
        <f t="shared" si="4"/>
        <v>0</v>
      </c>
      <c r="W65" s="77"/>
      <c r="X65" s="77"/>
      <c r="Y65" s="77" t="s">
        <v>592</v>
      </c>
      <c r="Z65" s="77"/>
      <c r="AA65" s="255"/>
      <c r="AC65" s="53">
        <v>2</v>
      </c>
    </row>
    <row r="66" spans="2:29" ht="16.5" customHeight="1">
      <c r="B66" s="136" t="s">
        <v>515</v>
      </c>
      <c r="C66" s="60">
        <v>920046200</v>
      </c>
      <c r="D66" s="64" t="s">
        <v>493</v>
      </c>
      <c r="E66" s="53" t="s">
        <v>519</v>
      </c>
      <c r="F66" s="124">
        <v>8</v>
      </c>
      <c r="G66" s="78">
        <v>0</v>
      </c>
      <c r="H66" s="42">
        <v>0</v>
      </c>
      <c r="I66" s="42">
        <v>8</v>
      </c>
      <c r="J66" s="67">
        <v>0</v>
      </c>
      <c r="K66" s="67">
        <v>0</v>
      </c>
      <c r="L66" s="419"/>
      <c r="M66" s="144">
        <v>0</v>
      </c>
      <c r="N66" s="144">
        <v>0</v>
      </c>
      <c r="O66" s="144">
        <v>0</v>
      </c>
      <c r="P66" s="67">
        <v>0</v>
      </c>
      <c r="Q66" s="67">
        <v>0</v>
      </c>
      <c r="R66" s="53">
        <v>0</v>
      </c>
      <c r="S66" s="53"/>
      <c r="T66" s="53"/>
      <c r="U66" s="223">
        <f t="shared" si="3"/>
        <v>8</v>
      </c>
      <c r="V66" s="53">
        <f t="shared" si="4"/>
        <v>0</v>
      </c>
      <c r="W66" s="77"/>
      <c r="X66" s="77"/>
      <c r="Y66" s="77" t="s">
        <v>592</v>
      </c>
      <c r="Z66" s="77"/>
      <c r="AA66" s="255"/>
      <c r="AC66" s="53">
        <v>8</v>
      </c>
    </row>
    <row r="67" spans="2:29" ht="16.5" customHeight="1">
      <c r="B67" s="136" t="s">
        <v>516</v>
      </c>
      <c r="C67" s="60">
        <v>926022900</v>
      </c>
      <c r="D67" s="64" t="s">
        <v>494</v>
      </c>
      <c r="E67" s="53" t="s">
        <v>519</v>
      </c>
      <c r="F67" s="124">
        <v>8</v>
      </c>
      <c r="G67" s="78">
        <v>0</v>
      </c>
      <c r="H67" s="42">
        <v>0</v>
      </c>
      <c r="I67" s="42">
        <v>8</v>
      </c>
      <c r="J67" s="67">
        <v>0</v>
      </c>
      <c r="K67" s="67">
        <v>0</v>
      </c>
      <c r="L67" s="419"/>
      <c r="M67" s="144">
        <v>0</v>
      </c>
      <c r="N67" s="144">
        <v>0</v>
      </c>
      <c r="O67" s="144">
        <v>0</v>
      </c>
      <c r="P67" s="67">
        <v>0</v>
      </c>
      <c r="Q67" s="67">
        <v>0</v>
      </c>
      <c r="R67" s="53">
        <v>0</v>
      </c>
      <c r="S67" s="53"/>
      <c r="T67" s="53"/>
      <c r="U67" s="223">
        <f t="shared" si="3"/>
        <v>8</v>
      </c>
      <c r="V67" s="53">
        <f t="shared" si="4"/>
        <v>0</v>
      </c>
      <c r="W67" s="77"/>
      <c r="X67" s="77"/>
      <c r="Y67" s="77" t="s">
        <v>592</v>
      </c>
      <c r="Z67" s="77"/>
      <c r="AA67" s="255"/>
      <c r="AC67" s="53">
        <v>8</v>
      </c>
    </row>
    <row r="68" spans="2:29" ht="16.5" customHeight="1">
      <c r="B68" s="136" t="s">
        <v>517</v>
      </c>
      <c r="C68" s="60">
        <v>908020800</v>
      </c>
      <c r="D68" s="64" t="s">
        <v>495</v>
      </c>
      <c r="E68" s="53" t="s">
        <v>519</v>
      </c>
      <c r="F68" s="124">
        <v>8</v>
      </c>
      <c r="G68" s="78">
        <v>0</v>
      </c>
      <c r="H68" s="42">
        <v>0</v>
      </c>
      <c r="I68" s="42">
        <v>8</v>
      </c>
      <c r="J68" s="67">
        <v>0</v>
      </c>
      <c r="K68" s="67">
        <v>0</v>
      </c>
      <c r="L68" s="419"/>
      <c r="M68" s="144">
        <v>0</v>
      </c>
      <c r="N68" s="144">
        <v>0</v>
      </c>
      <c r="O68" s="144">
        <v>0</v>
      </c>
      <c r="P68" s="67">
        <v>0</v>
      </c>
      <c r="Q68" s="67">
        <v>0</v>
      </c>
      <c r="R68" s="53">
        <v>0</v>
      </c>
      <c r="S68" s="53"/>
      <c r="T68" s="53"/>
      <c r="U68" s="223">
        <f t="shared" si="3"/>
        <v>8</v>
      </c>
      <c r="V68" s="53">
        <f t="shared" si="4"/>
        <v>0</v>
      </c>
      <c r="W68" s="42"/>
      <c r="X68" s="42"/>
      <c r="Y68" s="77" t="s">
        <v>592</v>
      </c>
      <c r="Z68" s="42"/>
      <c r="AA68" s="255"/>
      <c r="AC68" s="53">
        <v>8</v>
      </c>
    </row>
    <row r="69" spans="2:29" ht="16.5" customHeight="1">
      <c r="B69" s="136" t="s">
        <v>518</v>
      </c>
      <c r="C69" s="60">
        <v>909022700</v>
      </c>
      <c r="D69" s="64" t="s">
        <v>496</v>
      </c>
      <c r="E69" s="53" t="s">
        <v>519</v>
      </c>
      <c r="F69" s="124">
        <v>8</v>
      </c>
      <c r="G69" s="78">
        <v>0</v>
      </c>
      <c r="H69" s="42">
        <v>0</v>
      </c>
      <c r="I69" s="42">
        <v>8</v>
      </c>
      <c r="J69" s="67">
        <v>0</v>
      </c>
      <c r="K69" s="67">
        <v>0</v>
      </c>
      <c r="L69" s="419"/>
      <c r="M69" s="144">
        <v>0</v>
      </c>
      <c r="N69" s="144">
        <v>0</v>
      </c>
      <c r="O69" s="144">
        <v>0</v>
      </c>
      <c r="P69" s="67">
        <v>0</v>
      </c>
      <c r="Q69" s="67">
        <v>0</v>
      </c>
      <c r="R69" s="53">
        <v>0</v>
      </c>
      <c r="S69" s="53"/>
      <c r="T69" s="53"/>
      <c r="U69" s="223">
        <f t="shared" si="3"/>
        <v>8</v>
      </c>
      <c r="V69" s="53">
        <f t="shared" si="4"/>
        <v>0</v>
      </c>
      <c r="W69" s="49"/>
      <c r="X69" s="49"/>
      <c r="Y69" s="77" t="s">
        <v>592</v>
      </c>
      <c r="Z69" s="49"/>
      <c r="AA69" s="255"/>
      <c r="AC69" s="53">
        <v>8</v>
      </c>
    </row>
    <row r="70" spans="2:29" ht="16.5" customHeight="1">
      <c r="B70" s="42">
        <v>44</v>
      </c>
      <c r="C70" s="49" t="s">
        <v>714</v>
      </c>
      <c r="D70" s="235" t="s">
        <v>710</v>
      </c>
      <c r="E70" s="42" t="s">
        <v>3</v>
      </c>
      <c r="F70" s="125">
        <v>2</v>
      </c>
      <c r="G70" s="144">
        <v>0</v>
      </c>
      <c r="H70" s="42">
        <v>0</v>
      </c>
      <c r="I70" s="42">
        <v>0</v>
      </c>
      <c r="J70" s="67">
        <v>0</v>
      </c>
      <c r="K70" s="42">
        <v>2</v>
      </c>
      <c r="L70" s="419"/>
      <c r="M70" s="144">
        <v>0</v>
      </c>
      <c r="N70" s="144">
        <v>0</v>
      </c>
      <c r="O70" s="144">
        <v>0</v>
      </c>
      <c r="P70" s="67">
        <v>0</v>
      </c>
      <c r="Q70" s="67">
        <v>0</v>
      </c>
      <c r="R70" s="53">
        <v>0</v>
      </c>
      <c r="S70" s="49"/>
      <c r="T70" s="49"/>
      <c r="U70" s="236">
        <v>2</v>
      </c>
      <c r="V70" s="53">
        <f t="shared" si="4"/>
        <v>0</v>
      </c>
      <c r="W70" s="49"/>
      <c r="X70" s="49"/>
      <c r="Y70" s="49"/>
      <c r="Z70" s="49"/>
      <c r="AA70" s="255"/>
      <c r="AC70" s="55">
        <v>2</v>
      </c>
    </row>
    <row r="71" spans="2:29" ht="16.5" customHeight="1">
      <c r="B71" s="42">
        <v>45</v>
      </c>
      <c r="C71" s="49" t="s">
        <v>715</v>
      </c>
      <c r="D71" s="235" t="s">
        <v>711</v>
      </c>
      <c r="E71" s="42" t="s">
        <v>5</v>
      </c>
      <c r="F71" s="125">
        <v>1</v>
      </c>
      <c r="G71" s="144">
        <v>0</v>
      </c>
      <c r="H71" s="42">
        <v>0</v>
      </c>
      <c r="I71" s="42">
        <v>0</v>
      </c>
      <c r="J71" s="67">
        <v>0</v>
      </c>
      <c r="K71" s="42">
        <v>1</v>
      </c>
      <c r="L71" s="419"/>
      <c r="M71" s="144">
        <v>0</v>
      </c>
      <c r="N71" s="144">
        <v>0</v>
      </c>
      <c r="O71" s="144">
        <v>0</v>
      </c>
      <c r="P71" s="67">
        <v>0</v>
      </c>
      <c r="Q71" s="67">
        <v>0</v>
      </c>
      <c r="R71" s="53">
        <v>0</v>
      </c>
      <c r="S71" s="49"/>
      <c r="T71" s="49"/>
      <c r="U71" s="236">
        <v>1</v>
      </c>
      <c r="V71" s="53">
        <f t="shared" si="4"/>
        <v>0</v>
      </c>
      <c r="W71" s="49"/>
      <c r="X71" s="49"/>
      <c r="Y71" s="49"/>
      <c r="Z71" s="49"/>
      <c r="AA71" s="255"/>
      <c r="AC71" s="55">
        <v>1</v>
      </c>
    </row>
    <row r="72" spans="2:29" ht="16.5" customHeight="1">
      <c r="B72" s="124">
        <v>46</v>
      </c>
      <c r="C72" s="124" t="s">
        <v>713</v>
      </c>
      <c r="D72" s="239" t="s">
        <v>712</v>
      </c>
      <c r="E72" s="124" t="s">
        <v>713</v>
      </c>
      <c r="F72" s="125" t="s">
        <v>713</v>
      </c>
      <c r="G72" s="240" t="s">
        <v>713</v>
      </c>
      <c r="H72" s="240" t="s">
        <v>713</v>
      </c>
      <c r="I72" s="240" t="s">
        <v>713</v>
      </c>
      <c r="J72" s="241" t="s">
        <v>713</v>
      </c>
      <c r="K72" s="242" t="s">
        <v>713</v>
      </c>
      <c r="L72" s="419"/>
      <c r="M72" s="240" t="s">
        <v>713</v>
      </c>
      <c r="N72" s="240" t="s">
        <v>713</v>
      </c>
      <c r="O72" s="240" t="s">
        <v>713</v>
      </c>
      <c r="P72" s="240" t="s">
        <v>713</v>
      </c>
      <c r="Q72" s="240" t="s">
        <v>713</v>
      </c>
      <c r="R72" s="240" t="s">
        <v>713</v>
      </c>
      <c r="S72" s="240" t="s">
        <v>713</v>
      </c>
      <c r="T72" s="240" t="s">
        <v>713</v>
      </c>
      <c r="U72" s="243" t="s">
        <v>713</v>
      </c>
      <c r="V72" s="124" t="s">
        <v>713</v>
      </c>
      <c r="W72" s="240" t="s">
        <v>713</v>
      </c>
      <c r="X72" s="240" t="s">
        <v>713</v>
      </c>
      <c r="Y72" s="240"/>
      <c r="Z72" s="240"/>
      <c r="AA72" s="255"/>
      <c r="AC72" s="55" t="s">
        <v>713</v>
      </c>
    </row>
    <row r="73" spans="2:29" ht="16.5" customHeight="1">
      <c r="B73" s="237" t="s">
        <v>497</v>
      </c>
      <c r="C73" s="49" t="s">
        <v>739</v>
      </c>
      <c r="D73" s="235" t="s">
        <v>716</v>
      </c>
      <c r="E73" s="42" t="s">
        <v>3</v>
      </c>
      <c r="F73" s="42">
        <v>4</v>
      </c>
      <c r="G73" s="144">
        <v>0</v>
      </c>
      <c r="H73" s="144">
        <v>0</v>
      </c>
      <c r="I73" s="144">
        <v>0</v>
      </c>
      <c r="J73" s="144">
        <v>0</v>
      </c>
      <c r="K73" s="42">
        <v>4</v>
      </c>
      <c r="L73" s="419"/>
      <c r="M73" s="144">
        <v>0</v>
      </c>
      <c r="N73" s="144">
        <v>0</v>
      </c>
      <c r="O73" s="144">
        <v>0</v>
      </c>
      <c r="P73" s="144">
        <v>0</v>
      </c>
      <c r="Q73" s="144">
        <v>0</v>
      </c>
      <c r="R73" s="144">
        <v>0</v>
      </c>
      <c r="S73" s="49"/>
      <c r="T73" s="49"/>
      <c r="U73" s="42">
        <v>4</v>
      </c>
      <c r="V73" s="53">
        <f t="shared" si="4"/>
        <v>0</v>
      </c>
      <c r="W73" s="49"/>
      <c r="X73" s="49"/>
      <c r="Y73" s="49"/>
      <c r="Z73" s="49"/>
      <c r="AA73" s="255"/>
      <c r="AC73" s="53">
        <v>4</v>
      </c>
    </row>
    <row r="74" spans="2:29" ht="16.5" customHeight="1">
      <c r="B74" s="237" t="s">
        <v>498</v>
      </c>
      <c r="C74" s="49" t="s">
        <v>740</v>
      </c>
      <c r="D74" s="235" t="s">
        <v>717</v>
      </c>
      <c r="E74" s="42" t="s">
        <v>5</v>
      </c>
      <c r="F74" s="47">
        <v>1</v>
      </c>
      <c r="G74" s="144">
        <v>0</v>
      </c>
      <c r="H74" s="144">
        <v>0</v>
      </c>
      <c r="I74" s="144">
        <v>0</v>
      </c>
      <c r="J74" s="144">
        <v>0</v>
      </c>
      <c r="K74" s="47">
        <v>1</v>
      </c>
      <c r="L74" s="419"/>
      <c r="M74" s="144">
        <v>0</v>
      </c>
      <c r="N74" s="144">
        <v>0</v>
      </c>
      <c r="O74" s="144">
        <v>0</v>
      </c>
      <c r="P74" s="144">
        <v>0</v>
      </c>
      <c r="Q74" s="144">
        <v>0</v>
      </c>
      <c r="R74" s="144">
        <v>0</v>
      </c>
      <c r="S74" s="49"/>
      <c r="T74" s="49"/>
      <c r="U74" s="47">
        <v>1</v>
      </c>
      <c r="V74" s="53">
        <f t="shared" si="4"/>
        <v>0</v>
      </c>
      <c r="W74" s="49"/>
      <c r="X74" s="49"/>
      <c r="Y74" s="49"/>
      <c r="Z74" s="49"/>
      <c r="AA74" s="255"/>
      <c r="AC74" s="70">
        <v>1</v>
      </c>
    </row>
    <row r="75" spans="2:29" ht="16.5" customHeight="1">
      <c r="B75" s="237" t="s">
        <v>499</v>
      </c>
      <c r="C75" s="49" t="s">
        <v>741</v>
      </c>
      <c r="D75" s="235" t="s">
        <v>718</v>
      </c>
      <c r="E75" s="42" t="s">
        <v>762</v>
      </c>
      <c r="F75" s="47">
        <v>0.1</v>
      </c>
      <c r="G75" s="144">
        <v>0</v>
      </c>
      <c r="H75" s="144">
        <v>0</v>
      </c>
      <c r="I75" s="144">
        <v>0</v>
      </c>
      <c r="J75" s="144">
        <v>0</v>
      </c>
      <c r="K75" s="47">
        <v>0.1</v>
      </c>
      <c r="L75" s="419"/>
      <c r="M75" s="144">
        <v>0</v>
      </c>
      <c r="N75" s="144">
        <v>0</v>
      </c>
      <c r="O75" s="144">
        <v>0</v>
      </c>
      <c r="P75" s="144">
        <v>0</v>
      </c>
      <c r="Q75" s="144">
        <v>0</v>
      </c>
      <c r="R75" s="144">
        <v>0</v>
      </c>
      <c r="S75" s="49"/>
      <c r="T75" s="49"/>
      <c r="U75" s="47">
        <v>0.1</v>
      </c>
      <c r="V75" s="53">
        <f t="shared" si="4"/>
        <v>0</v>
      </c>
      <c r="W75" s="49"/>
      <c r="X75" s="49"/>
      <c r="Y75" s="49"/>
      <c r="Z75" s="49"/>
      <c r="AA75" s="255"/>
      <c r="AC75" s="70">
        <v>0.1</v>
      </c>
    </row>
    <row r="76" spans="2:29" ht="16.5" customHeight="1">
      <c r="B76" s="237" t="s">
        <v>500</v>
      </c>
      <c r="C76" s="49" t="s">
        <v>742</v>
      </c>
      <c r="D76" s="235" t="s">
        <v>719</v>
      </c>
      <c r="E76" s="42" t="s">
        <v>3</v>
      </c>
      <c r="F76" s="47">
        <v>2</v>
      </c>
      <c r="G76" s="144">
        <v>0</v>
      </c>
      <c r="H76" s="144">
        <v>0</v>
      </c>
      <c r="I76" s="144">
        <v>0</v>
      </c>
      <c r="J76" s="144">
        <v>0</v>
      </c>
      <c r="K76" s="47">
        <v>2</v>
      </c>
      <c r="L76" s="419"/>
      <c r="M76" s="144">
        <v>0</v>
      </c>
      <c r="N76" s="144">
        <v>0</v>
      </c>
      <c r="O76" s="144">
        <v>0</v>
      </c>
      <c r="P76" s="144">
        <v>0</v>
      </c>
      <c r="Q76" s="144">
        <v>0</v>
      </c>
      <c r="R76" s="144">
        <v>0</v>
      </c>
      <c r="S76" s="49"/>
      <c r="T76" s="49"/>
      <c r="U76" s="47">
        <v>2</v>
      </c>
      <c r="V76" s="53">
        <f t="shared" si="4"/>
        <v>0</v>
      </c>
      <c r="W76" s="49"/>
      <c r="X76" s="49"/>
      <c r="Y76" s="49"/>
      <c r="Z76" s="49"/>
      <c r="AA76" s="255"/>
      <c r="AC76" s="70">
        <v>2</v>
      </c>
    </row>
    <row r="77" spans="2:29" ht="16.5" customHeight="1">
      <c r="B77" s="237" t="s">
        <v>501</v>
      </c>
      <c r="C77" s="49" t="s">
        <v>743</v>
      </c>
      <c r="D77" s="235" t="s">
        <v>720</v>
      </c>
      <c r="E77" s="42" t="s">
        <v>5</v>
      </c>
      <c r="F77" s="47">
        <v>1</v>
      </c>
      <c r="G77" s="144">
        <v>0</v>
      </c>
      <c r="H77" s="144">
        <v>0</v>
      </c>
      <c r="I77" s="144">
        <v>0</v>
      </c>
      <c r="J77" s="144">
        <v>0</v>
      </c>
      <c r="K77" s="47">
        <v>1</v>
      </c>
      <c r="L77" s="419"/>
      <c r="M77" s="144">
        <v>0</v>
      </c>
      <c r="N77" s="144">
        <v>0</v>
      </c>
      <c r="O77" s="144">
        <v>0</v>
      </c>
      <c r="P77" s="144">
        <v>0</v>
      </c>
      <c r="Q77" s="144">
        <v>0</v>
      </c>
      <c r="R77" s="144">
        <v>0</v>
      </c>
      <c r="S77" s="49"/>
      <c r="T77" s="49"/>
      <c r="U77" s="47">
        <v>1</v>
      </c>
      <c r="V77" s="53">
        <f t="shared" si="4"/>
        <v>0</v>
      </c>
      <c r="W77" s="49"/>
      <c r="X77" s="49"/>
      <c r="Y77" s="49"/>
      <c r="Z77" s="49"/>
      <c r="AA77" s="255"/>
      <c r="AC77" s="70">
        <v>1</v>
      </c>
    </row>
    <row r="78" spans="2:29" ht="16.5" customHeight="1">
      <c r="B78" s="237" t="s">
        <v>502</v>
      </c>
      <c r="C78" s="49" t="s">
        <v>744</v>
      </c>
      <c r="D78" s="235" t="s">
        <v>721</v>
      </c>
      <c r="E78" s="42" t="s">
        <v>3</v>
      </c>
      <c r="F78" s="47">
        <v>8</v>
      </c>
      <c r="G78" s="144">
        <v>0</v>
      </c>
      <c r="H78" s="144">
        <v>0</v>
      </c>
      <c r="I78" s="144">
        <v>0</v>
      </c>
      <c r="J78" s="144">
        <v>0</v>
      </c>
      <c r="K78" s="47">
        <v>8</v>
      </c>
      <c r="L78" s="419"/>
      <c r="M78" s="144">
        <v>0</v>
      </c>
      <c r="N78" s="144">
        <v>0</v>
      </c>
      <c r="O78" s="144">
        <v>0</v>
      </c>
      <c r="P78" s="144">
        <v>0</v>
      </c>
      <c r="Q78" s="144">
        <v>0</v>
      </c>
      <c r="R78" s="144">
        <v>0</v>
      </c>
      <c r="S78" s="49"/>
      <c r="T78" s="49"/>
      <c r="U78" s="47">
        <v>8</v>
      </c>
      <c r="V78" s="53">
        <f t="shared" si="4"/>
        <v>0</v>
      </c>
      <c r="W78" s="49"/>
      <c r="X78" s="49"/>
      <c r="Y78" s="49"/>
      <c r="Z78" s="49"/>
      <c r="AA78" s="255"/>
      <c r="AC78" s="70">
        <v>8</v>
      </c>
    </row>
    <row r="79" spans="2:29" ht="16.5" customHeight="1">
      <c r="B79" s="237" t="s">
        <v>503</v>
      </c>
      <c r="C79" s="49" t="s">
        <v>745</v>
      </c>
      <c r="D79" s="235" t="s">
        <v>722</v>
      </c>
      <c r="E79" s="42" t="s">
        <v>3</v>
      </c>
      <c r="F79" s="47">
        <v>2</v>
      </c>
      <c r="G79" s="144">
        <v>0</v>
      </c>
      <c r="H79" s="144">
        <v>0</v>
      </c>
      <c r="I79" s="144">
        <v>0</v>
      </c>
      <c r="J79" s="144">
        <v>0</v>
      </c>
      <c r="K79" s="47">
        <v>2</v>
      </c>
      <c r="L79" s="419"/>
      <c r="M79" s="144">
        <v>0</v>
      </c>
      <c r="N79" s="144">
        <v>0</v>
      </c>
      <c r="O79" s="144">
        <v>0</v>
      </c>
      <c r="P79" s="144">
        <v>0</v>
      </c>
      <c r="Q79" s="144">
        <v>0</v>
      </c>
      <c r="R79" s="144">
        <v>0</v>
      </c>
      <c r="S79" s="49"/>
      <c r="T79" s="49"/>
      <c r="U79" s="47">
        <v>2</v>
      </c>
      <c r="V79" s="53">
        <f t="shared" si="4"/>
        <v>0</v>
      </c>
      <c r="W79" s="49"/>
      <c r="X79" s="49"/>
      <c r="Y79" s="49"/>
      <c r="Z79" s="49"/>
      <c r="AA79" s="255"/>
      <c r="AC79" s="70">
        <v>2</v>
      </c>
    </row>
    <row r="80" spans="2:29" ht="16.5" customHeight="1">
      <c r="B80" s="237" t="s">
        <v>547</v>
      </c>
      <c r="C80" s="49" t="s">
        <v>746</v>
      </c>
      <c r="D80" s="235" t="s">
        <v>723</v>
      </c>
      <c r="E80" s="42" t="s">
        <v>3</v>
      </c>
      <c r="F80" s="47">
        <v>2</v>
      </c>
      <c r="G80" s="144">
        <v>0</v>
      </c>
      <c r="H80" s="144">
        <v>0</v>
      </c>
      <c r="I80" s="144">
        <v>0</v>
      </c>
      <c r="J80" s="144">
        <v>0</v>
      </c>
      <c r="K80" s="47">
        <v>2</v>
      </c>
      <c r="L80" s="419"/>
      <c r="M80" s="144">
        <v>0</v>
      </c>
      <c r="N80" s="144">
        <v>0</v>
      </c>
      <c r="O80" s="144">
        <v>0</v>
      </c>
      <c r="P80" s="144">
        <v>0</v>
      </c>
      <c r="Q80" s="144">
        <v>0</v>
      </c>
      <c r="R80" s="144">
        <v>0</v>
      </c>
      <c r="S80" s="49"/>
      <c r="T80" s="49"/>
      <c r="U80" s="47">
        <v>2</v>
      </c>
      <c r="V80" s="53">
        <f t="shared" si="4"/>
        <v>0</v>
      </c>
      <c r="W80" s="49"/>
      <c r="X80" s="49"/>
      <c r="Y80" s="49"/>
      <c r="Z80" s="49"/>
      <c r="AA80" s="255"/>
      <c r="AC80" s="70">
        <v>2</v>
      </c>
    </row>
    <row r="81" spans="2:29" ht="16.5" customHeight="1">
      <c r="B81" s="237" t="s">
        <v>504</v>
      </c>
      <c r="C81" s="49" t="s">
        <v>747</v>
      </c>
      <c r="D81" s="235" t="s">
        <v>724</v>
      </c>
      <c r="E81" s="42" t="s">
        <v>3</v>
      </c>
      <c r="F81" s="47">
        <v>2</v>
      </c>
      <c r="G81" s="144">
        <v>0</v>
      </c>
      <c r="H81" s="144">
        <v>0</v>
      </c>
      <c r="I81" s="144">
        <v>0</v>
      </c>
      <c r="J81" s="144">
        <v>0</v>
      </c>
      <c r="K81" s="47">
        <v>2</v>
      </c>
      <c r="L81" s="419"/>
      <c r="M81" s="144">
        <v>0</v>
      </c>
      <c r="N81" s="144">
        <v>0</v>
      </c>
      <c r="O81" s="144">
        <v>0</v>
      </c>
      <c r="P81" s="144">
        <v>0</v>
      </c>
      <c r="Q81" s="144">
        <v>0</v>
      </c>
      <c r="R81" s="144">
        <v>0</v>
      </c>
      <c r="S81" s="49"/>
      <c r="T81" s="49"/>
      <c r="U81" s="47">
        <v>2</v>
      </c>
      <c r="V81" s="53">
        <f t="shared" si="4"/>
        <v>0</v>
      </c>
      <c r="W81" s="49"/>
      <c r="X81" s="49"/>
      <c r="Y81" s="49"/>
      <c r="Z81" s="49"/>
      <c r="AA81" s="255"/>
      <c r="AC81" s="70">
        <v>2</v>
      </c>
    </row>
    <row r="82" spans="2:29" ht="16.5" customHeight="1">
      <c r="B82" s="237" t="s">
        <v>505</v>
      </c>
      <c r="C82" s="49" t="s">
        <v>748</v>
      </c>
      <c r="D82" s="235" t="s">
        <v>725</v>
      </c>
      <c r="E82" s="42" t="s">
        <v>5</v>
      </c>
      <c r="F82" s="47">
        <v>1</v>
      </c>
      <c r="G82" s="144">
        <v>0</v>
      </c>
      <c r="H82" s="144">
        <v>0</v>
      </c>
      <c r="I82" s="144">
        <v>0</v>
      </c>
      <c r="J82" s="144">
        <v>0</v>
      </c>
      <c r="K82" s="47">
        <v>1</v>
      </c>
      <c r="L82" s="419"/>
      <c r="M82" s="144">
        <v>0</v>
      </c>
      <c r="N82" s="144">
        <v>0</v>
      </c>
      <c r="O82" s="144">
        <v>0</v>
      </c>
      <c r="P82" s="144">
        <v>0</v>
      </c>
      <c r="Q82" s="144">
        <v>0</v>
      </c>
      <c r="R82" s="144">
        <v>0</v>
      </c>
      <c r="S82" s="49"/>
      <c r="T82" s="49"/>
      <c r="U82" s="47">
        <v>1</v>
      </c>
      <c r="V82" s="53">
        <f t="shared" si="4"/>
        <v>0</v>
      </c>
      <c r="W82" s="49"/>
      <c r="X82" s="49"/>
      <c r="Y82" s="49"/>
      <c r="Z82" s="49"/>
      <c r="AA82" s="255"/>
      <c r="AC82" s="70">
        <v>1</v>
      </c>
    </row>
    <row r="83" spans="2:29" ht="16.5" customHeight="1">
      <c r="B83" s="237" t="s">
        <v>506</v>
      </c>
      <c r="C83" s="49" t="s">
        <v>749</v>
      </c>
      <c r="D83" s="235" t="s">
        <v>726</v>
      </c>
      <c r="E83" s="42" t="s">
        <v>3</v>
      </c>
      <c r="F83" s="47">
        <v>6</v>
      </c>
      <c r="G83" s="144">
        <v>0</v>
      </c>
      <c r="H83" s="144">
        <v>0</v>
      </c>
      <c r="I83" s="144">
        <v>0</v>
      </c>
      <c r="J83" s="144">
        <v>0</v>
      </c>
      <c r="K83" s="47">
        <v>6</v>
      </c>
      <c r="L83" s="419"/>
      <c r="M83" s="144">
        <v>0</v>
      </c>
      <c r="N83" s="144">
        <v>0</v>
      </c>
      <c r="O83" s="144">
        <v>0</v>
      </c>
      <c r="P83" s="144">
        <v>0</v>
      </c>
      <c r="Q83" s="144">
        <v>0</v>
      </c>
      <c r="R83" s="144">
        <v>0</v>
      </c>
      <c r="S83" s="49"/>
      <c r="T83" s="49"/>
      <c r="U83" s="47">
        <v>6</v>
      </c>
      <c r="V83" s="53">
        <f t="shared" si="4"/>
        <v>0</v>
      </c>
      <c r="W83" s="49"/>
      <c r="X83" s="49"/>
      <c r="Y83" s="49"/>
      <c r="Z83" s="49"/>
      <c r="AA83" s="255"/>
      <c r="AC83" s="70">
        <v>6</v>
      </c>
    </row>
    <row r="84" spans="2:29" ht="16.5" customHeight="1">
      <c r="B84" s="237" t="s">
        <v>507</v>
      </c>
      <c r="C84" s="49" t="s">
        <v>750</v>
      </c>
      <c r="D84" s="235" t="s">
        <v>727</v>
      </c>
      <c r="E84" s="42" t="s">
        <v>5</v>
      </c>
      <c r="F84" s="47">
        <v>1</v>
      </c>
      <c r="G84" s="144">
        <v>0</v>
      </c>
      <c r="H84" s="144">
        <v>0</v>
      </c>
      <c r="I84" s="144">
        <v>0</v>
      </c>
      <c r="J84" s="144">
        <v>0</v>
      </c>
      <c r="K84" s="47">
        <v>1</v>
      </c>
      <c r="L84" s="419"/>
      <c r="M84" s="144">
        <v>0</v>
      </c>
      <c r="N84" s="144">
        <v>0</v>
      </c>
      <c r="O84" s="144">
        <v>0</v>
      </c>
      <c r="P84" s="144">
        <v>0</v>
      </c>
      <c r="Q84" s="144">
        <v>0</v>
      </c>
      <c r="R84" s="144">
        <v>0</v>
      </c>
      <c r="S84" s="49"/>
      <c r="T84" s="49"/>
      <c r="U84" s="47">
        <v>1</v>
      </c>
      <c r="V84" s="53">
        <f t="shared" si="4"/>
        <v>0</v>
      </c>
      <c r="W84" s="49"/>
      <c r="X84" s="49"/>
      <c r="Y84" s="49"/>
      <c r="Z84" s="49"/>
      <c r="AA84" s="255"/>
      <c r="AC84" s="70">
        <v>1</v>
      </c>
    </row>
    <row r="85" spans="2:29" ht="16.5" customHeight="1">
      <c r="B85" s="237" t="s">
        <v>508</v>
      </c>
      <c r="C85" s="49" t="s">
        <v>751</v>
      </c>
      <c r="D85" s="235" t="s">
        <v>728</v>
      </c>
      <c r="E85" s="42" t="s">
        <v>3</v>
      </c>
      <c r="F85" s="47">
        <v>6</v>
      </c>
      <c r="G85" s="144">
        <v>0</v>
      </c>
      <c r="H85" s="144">
        <v>0</v>
      </c>
      <c r="I85" s="144">
        <v>0</v>
      </c>
      <c r="J85" s="144">
        <v>0</v>
      </c>
      <c r="K85" s="47">
        <v>6</v>
      </c>
      <c r="L85" s="419"/>
      <c r="M85" s="144">
        <v>0</v>
      </c>
      <c r="N85" s="144">
        <v>0</v>
      </c>
      <c r="O85" s="144">
        <v>0</v>
      </c>
      <c r="P85" s="144">
        <v>0</v>
      </c>
      <c r="Q85" s="144">
        <v>0</v>
      </c>
      <c r="R85" s="144">
        <v>0</v>
      </c>
      <c r="S85" s="49"/>
      <c r="T85" s="49"/>
      <c r="U85" s="47">
        <v>6</v>
      </c>
      <c r="V85" s="53">
        <f t="shared" si="4"/>
        <v>0</v>
      </c>
      <c r="W85" s="49"/>
      <c r="X85" s="49"/>
      <c r="Y85" s="49"/>
      <c r="Z85" s="49"/>
      <c r="AA85" s="255"/>
      <c r="AC85" s="70">
        <v>6</v>
      </c>
    </row>
    <row r="86" spans="2:29" ht="16.5" customHeight="1">
      <c r="B86" s="237" t="s">
        <v>509</v>
      </c>
      <c r="C86" s="49" t="s">
        <v>761</v>
      </c>
      <c r="D86" s="235" t="s">
        <v>729</v>
      </c>
      <c r="E86" s="42" t="s">
        <v>5</v>
      </c>
      <c r="F86" s="47">
        <v>1</v>
      </c>
      <c r="G86" s="144">
        <v>0</v>
      </c>
      <c r="H86" s="144">
        <v>0</v>
      </c>
      <c r="I86" s="144">
        <v>0</v>
      </c>
      <c r="J86" s="144">
        <v>0</v>
      </c>
      <c r="K86" s="47">
        <v>1</v>
      </c>
      <c r="L86" s="419"/>
      <c r="M86" s="144">
        <v>0</v>
      </c>
      <c r="N86" s="144">
        <v>0</v>
      </c>
      <c r="O86" s="144">
        <v>0</v>
      </c>
      <c r="P86" s="144">
        <v>0</v>
      </c>
      <c r="Q86" s="144">
        <v>0</v>
      </c>
      <c r="R86" s="144">
        <v>0</v>
      </c>
      <c r="S86" s="49"/>
      <c r="T86" s="49"/>
      <c r="U86" s="47">
        <v>1</v>
      </c>
      <c r="V86" s="53">
        <f t="shared" si="4"/>
        <v>0</v>
      </c>
      <c r="W86" s="49"/>
      <c r="X86" s="49"/>
      <c r="Y86" s="49"/>
      <c r="Z86" s="49"/>
      <c r="AA86" s="255"/>
      <c r="AC86" s="70">
        <v>1</v>
      </c>
    </row>
    <row r="87" spans="2:29" ht="16.5" customHeight="1">
      <c r="B87" s="237" t="s">
        <v>510</v>
      </c>
      <c r="C87" s="49" t="s">
        <v>760</v>
      </c>
      <c r="D87" s="235" t="s">
        <v>730</v>
      </c>
      <c r="E87" s="42" t="s">
        <v>3</v>
      </c>
      <c r="F87" s="47">
        <v>9</v>
      </c>
      <c r="G87" s="144">
        <v>0</v>
      </c>
      <c r="H87" s="144">
        <v>0</v>
      </c>
      <c r="I87" s="144">
        <v>0</v>
      </c>
      <c r="J87" s="144">
        <v>0</v>
      </c>
      <c r="K87" s="47">
        <v>9</v>
      </c>
      <c r="L87" s="419"/>
      <c r="M87" s="144">
        <v>0</v>
      </c>
      <c r="N87" s="144">
        <v>0</v>
      </c>
      <c r="O87" s="144">
        <v>0</v>
      </c>
      <c r="P87" s="144">
        <v>0</v>
      </c>
      <c r="Q87" s="144">
        <v>0</v>
      </c>
      <c r="R87" s="144">
        <v>0</v>
      </c>
      <c r="S87" s="49"/>
      <c r="T87" s="49"/>
      <c r="U87" s="47">
        <v>9</v>
      </c>
      <c r="V87" s="53">
        <f t="shared" si="4"/>
        <v>0</v>
      </c>
      <c r="W87" s="49"/>
      <c r="X87" s="49"/>
      <c r="Y87" s="49"/>
      <c r="Z87" s="49"/>
      <c r="AA87" s="255"/>
      <c r="AC87" s="70">
        <v>9</v>
      </c>
    </row>
    <row r="88" spans="2:29" ht="16.5" customHeight="1">
      <c r="B88" s="237" t="s">
        <v>511</v>
      </c>
      <c r="C88" s="49" t="s">
        <v>759</v>
      </c>
      <c r="D88" s="235" t="s">
        <v>731</v>
      </c>
      <c r="E88" s="42" t="s">
        <v>3</v>
      </c>
      <c r="F88" s="47">
        <v>5</v>
      </c>
      <c r="G88" s="144">
        <v>0</v>
      </c>
      <c r="H88" s="144">
        <v>0</v>
      </c>
      <c r="I88" s="144">
        <v>0</v>
      </c>
      <c r="J88" s="144">
        <v>0</v>
      </c>
      <c r="K88" s="47">
        <v>5</v>
      </c>
      <c r="L88" s="419"/>
      <c r="M88" s="144">
        <v>0</v>
      </c>
      <c r="N88" s="144">
        <v>0</v>
      </c>
      <c r="O88" s="144">
        <v>0</v>
      </c>
      <c r="P88" s="144">
        <v>0</v>
      </c>
      <c r="Q88" s="144">
        <v>0</v>
      </c>
      <c r="R88" s="144">
        <v>0</v>
      </c>
      <c r="S88" s="49"/>
      <c r="T88" s="49"/>
      <c r="U88" s="47">
        <v>5</v>
      </c>
      <c r="V88" s="53">
        <f t="shared" si="4"/>
        <v>0</v>
      </c>
      <c r="W88" s="49"/>
      <c r="X88" s="49"/>
      <c r="Y88" s="49"/>
      <c r="Z88" s="49"/>
      <c r="AA88" s="255"/>
      <c r="AC88" s="70">
        <v>5</v>
      </c>
    </row>
    <row r="89" spans="2:29" ht="16.5" customHeight="1">
      <c r="B89" s="237" t="s">
        <v>512</v>
      </c>
      <c r="C89" s="49" t="s">
        <v>758</v>
      </c>
      <c r="D89" s="235" t="s">
        <v>732</v>
      </c>
      <c r="E89" s="42" t="s">
        <v>3</v>
      </c>
      <c r="F89" s="47">
        <v>12</v>
      </c>
      <c r="G89" s="144">
        <v>0</v>
      </c>
      <c r="H89" s="144">
        <v>0</v>
      </c>
      <c r="I89" s="144">
        <v>0</v>
      </c>
      <c r="J89" s="144">
        <v>0</v>
      </c>
      <c r="K89" s="47">
        <v>12</v>
      </c>
      <c r="L89" s="419"/>
      <c r="M89" s="144">
        <v>0</v>
      </c>
      <c r="N89" s="144">
        <v>0</v>
      </c>
      <c r="O89" s="144">
        <v>0</v>
      </c>
      <c r="P89" s="144">
        <v>0</v>
      </c>
      <c r="Q89" s="144">
        <v>0</v>
      </c>
      <c r="R89" s="144">
        <v>0</v>
      </c>
      <c r="S89" s="49"/>
      <c r="T89" s="49"/>
      <c r="U89" s="47">
        <v>12</v>
      </c>
      <c r="V89" s="53">
        <f t="shared" si="4"/>
        <v>0</v>
      </c>
      <c r="W89" s="49"/>
      <c r="X89" s="49"/>
      <c r="Y89" s="49"/>
      <c r="Z89" s="49"/>
      <c r="AA89" s="255"/>
      <c r="AC89" s="70">
        <v>12</v>
      </c>
    </row>
    <row r="90" spans="2:29" ht="16.5" customHeight="1">
      <c r="B90" s="237" t="s">
        <v>513</v>
      </c>
      <c r="C90" s="49" t="s">
        <v>757</v>
      </c>
      <c r="D90" s="235" t="s">
        <v>733</v>
      </c>
      <c r="E90" s="42" t="s">
        <v>5</v>
      </c>
      <c r="F90" s="47">
        <v>1</v>
      </c>
      <c r="G90" s="144">
        <v>0</v>
      </c>
      <c r="H90" s="144">
        <v>0</v>
      </c>
      <c r="I90" s="144">
        <v>0</v>
      </c>
      <c r="J90" s="144">
        <v>0</v>
      </c>
      <c r="K90" s="47">
        <v>1</v>
      </c>
      <c r="L90" s="419"/>
      <c r="M90" s="144">
        <v>0</v>
      </c>
      <c r="N90" s="144">
        <v>0</v>
      </c>
      <c r="O90" s="144">
        <v>0</v>
      </c>
      <c r="P90" s="144">
        <v>0</v>
      </c>
      <c r="Q90" s="144">
        <v>0</v>
      </c>
      <c r="R90" s="144">
        <v>0</v>
      </c>
      <c r="S90" s="49"/>
      <c r="T90" s="49"/>
      <c r="U90" s="47">
        <v>1</v>
      </c>
      <c r="V90" s="53">
        <f t="shared" si="4"/>
        <v>0</v>
      </c>
      <c r="W90" s="49"/>
      <c r="X90" s="49"/>
      <c r="Y90" s="49"/>
      <c r="Z90" s="49"/>
      <c r="AA90" s="255"/>
      <c r="AC90" s="70">
        <v>1</v>
      </c>
    </row>
    <row r="91" spans="2:29" ht="16.5" customHeight="1">
      <c r="B91" s="237" t="s">
        <v>514</v>
      </c>
      <c r="C91" s="49" t="s">
        <v>756</v>
      </c>
      <c r="D91" s="235" t="s">
        <v>734</v>
      </c>
      <c r="E91" s="42" t="s">
        <v>3</v>
      </c>
      <c r="F91" s="47">
        <v>61</v>
      </c>
      <c r="G91" s="144">
        <v>0</v>
      </c>
      <c r="H91" s="144">
        <v>0</v>
      </c>
      <c r="I91" s="144">
        <v>0</v>
      </c>
      <c r="J91" s="144">
        <v>0</v>
      </c>
      <c r="K91" s="47">
        <v>61</v>
      </c>
      <c r="L91" s="419"/>
      <c r="M91" s="144">
        <v>0</v>
      </c>
      <c r="N91" s="144">
        <v>0</v>
      </c>
      <c r="O91" s="144">
        <v>0</v>
      </c>
      <c r="P91" s="144">
        <v>0</v>
      </c>
      <c r="Q91" s="144">
        <v>0</v>
      </c>
      <c r="R91" s="144">
        <v>0</v>
      </c>
      <c r="S91" s="49"/>
      <c r="T91" s="49"/>
      <c r="U91" s="47">
        <v>61</v>
      </c>
      <c r="V91" s="53">
        <f t="shared" si="4"/>
        <v>0</v>
      </c>
      <c r="W91" s="49"/>
      <c r="X91" s="49"/>
      <c r="Y91" s="49"/>
      <c r="Z91" s="49"/>
      <c r="AA91" s="255"/>
      <c r="AC91" s="70">
        <v>61</v>
      </c>
    </row>
    <row r="92" spans="2:29" ht="16.5" customHeight="1">
      <c r="B92" s="237" t="s">
        <v>515</v>
      </c>
      <c r="C92" s="49" t="s">
        <v>755</v>
      </c>
      <c r="D92" s="235" t="s">
        <v>735</v>
      </c>
      <c r="E92" s="42" t="s">
        <v>3</v>
      </c>
      <c r="F92" s="47">
        <v>2</v>
      </c>
      <c r="G92" s="144">
        <v>0</v>
      </c>
      <c r="H92" s="144">
        <v>0</v>
      </c>
      <c r="I92" s="144">
        <v>0</v>
      </c>
      <c r="J92" s="144">
        <v>0</v>
      </c>
      <c r="K92" s="47">
        <v>2</v>
      </c>
      <c r="L92" s="419"/>
      <c r="M92" s="144">
        <v>0</v>
      </c>
      <c r="N92" s="144">
        <v>0</v>
      </c>
      <c r="O92" s="144">
        <v>0</v>
      </c>
      <c r="P92" s="144">
        <v>0</v>
      </c>
      <c r="Q92" s="144">
        <v>0</v>
      </c>
      <c r="R92" s="144">
        <v>0</v>
      </c>
      <c r="S92" s="49"/>
      <c r="T92" s="49"/>
      <c r="U92" s="47">
        <v>2</v>
      </c>
      <c r="V92" s="53">
        <f t="shared" si="4"/>
        <v>0</v>
      </c>
      <c r="W92" s="49"/>
      <c r="X92" s="49"/>
      <c r="Y92" s="49"/>
      <c r="Z92" s="49"/>
      <c r="AA92" s="255"/>
      <c r="AC92" s="70">
        <v>2</v>
      </c>
    </row>
    <row r="93" spans="2:29" ht="16.5" customHeight="1">
      <c r="B93" s="237" t="s">
        <v>516</v>
      </c>
      <c r="C93" s="49" t="s">
        <v>754</v>
      </c>
      <c r="D93" s="235" t="s">
        <v>736</v>
      </c>
      <c r="E93" s="42" t="s">
        <v>3</v>
      </c>
      <c r="F93" s="47">
        <v>2</v>
      </c>
      <c r="G93" s="144">
        <v>0</v>
      </c>
      <c r="H93" s="144">
        <v>0</v>
      </c>
      <c r="I93" s="144">
        <v>0</v>
      </c>
      <c r="J93" s="144">
        <v>0</v>
      </c>
      <c r="K93" s="47">
        <v>2</v>
      </c>
      <c r="L93" s="419"/>
      <c r="M93" s="144">
        <v>0</v>
      </c>
      <c r="N93" s="144">
        <v>0</v>
      </c>
      <c r="O93" s="144">
        <v>0</v>
      </c>
      <c r="P93" s="144">
        <v>0</v>
      </c>
      <c r="Q93" s="144">
        <v>0</v>
      </c>
      <c r="R93" s="144">
        <v>0</v>
      </c>
      <c r="S93" s="49"/>
      <c r="T93" s="49"/>
      <c r="U93" s="47">
        <v>2</v>
      </c>
      <c r="V93" s="53">
        <f t="shared" si="4"/>
        <v>0</v>
      </c>
      <c r="W93" s="49"/>
      <c r="X93" s="49"/>
      <c r="Y93" s="49"/>
      <c r="Z93" s="49"/>
      <c r="AA93" s="255"/>
      <c r="AC93" s="70">
        <v>2</v>
      </c>
    </row>
    <row r="94" spans="2:29" ht="16.5" customHeight="1">
      <c r="B94" s="237" t="s">
        <v>517</v>
      </c>
      <c r="C94" s="49" t="s">
        <v>753</v>
      </c>
      <c r="D94" s="235" t="s">
        <v>737</v>
      </c>
      <c r="E94" s="42" t="s">
        <v>5</v>
      </c>
      <c r="F94" s="47">
        <v>1</v>
      </c>
      <c r="G94" s="144">
        <v>0</v>
      </c>
      <c r="H94" s="144">
        <v>0</v>
      </c>
      <c r="I94" s="144">
        <v>0</v>
      </c>
      <c r="J94" s="144">
        <v>0</v>
      </c>
      <c r="K94" s="47">
        <v>1</v>
      </c>
      <c r="L94" s="419"/>
      <c r="M94" s="144">
        <v>0</v>
      </c>
      <c r="N94" s="144">
        <v>0</v>
      </c>
      <c r="O94" s="144">
        <v>0</v>
      </c>
      <c r="P94" s="144">
        <v>0</v>
      </c>
      <c r="Q94" s="144">
        <v>0</v>
      </c>
      <c r="R94" s="144">
        <v>0</v>
      </c>
      <c r="S94" s="49"/>
      <c r="T94" s="49"/>
      <c r="U94" s="47">
        <v>1</v>
      </c>
      <c r="V94" s="53">
        <f t="shared" si="4"/>
        <v>0</v>
      </c>
      <c r="W94" s="49"/>
      <c r="X94" s="49"/>
      <c r="Y94" s="49"/>
      <c r="Z94" s="49"/>
      <c r="AA94" s="255"/>
      <c r="AC94" s="70">
        <v>1</v>
      </c>
    </row>
    <row r="95" spans="2:29" ht="16.5" customHeight="1">
      <c r="B95" s="237" t="s">
        <v>518</v>
      </c>
      <c r="C95" s="49" t="s">
        <v>752</v>
      </c>
      <c r="D95" s="235" t="s">
        <v>738</v>
      </c>
      <c r="E95" s="42" t="s">
        <v>5</v>
      </c>
      <c r="F95" s="47">
        <v>1</v>
      </c>
      <c r="G95" s="144">
        <v>0</v>
      </c>
      <c r="H95" s="144">
        <v>0</v>
      </c>
      <c r="I95" s="144">
        <v>0</v>
      </c>
      <c r="J95" s="144">
        <v>0</v>
      </c>
      <c r="K95" s="47">
        <v>1</v>
      </c>
      <c r="L95" s="419"/>
      <c r="M95" s="144">
        <v>0</v>
      </c>
      <c r="N95" s="144">
        <v>0</v>
      </c>
      <c r="O95" s="144">
        <v>0</v>
      </c>
      <c r="P95" s="144">
        <v>0</v>
      </c>
      <c r="Q95" s="144">
        <v>0</v>
      </c>
      <c r="R95" s="144">
        <v>0</v>
      </c>
      <c r="S95" s="49"/>
      <c r="T95" s="49"/>
      <c r="U95" s="47">
        <v>1</v>
      </c>
      <c r="V95" s="53">
        <f t="shared" si="4"/>
        <v>0</v>
      </c>
      <c r="W95" s="49"/>
      <c r="X95" s="49"/>
      <c r="Y95" s="49"/>
      <c r="Z95" s="49"/>
      <c r="AA95" s="255"/>
      <c r="AC95" s="70">
        <v>1</v>
      </c>
    </row>
    <row r="96" spans="2:29" ht="33.75" customHeight="1">
      <c r="B96" s="42">
        <v>47</v>
      </c>
      <c r="C96" s="42" t="s">
        <v>763</v>
      </c>
      <c r="D96" s="238" t="s">
        <v>764</v>
      </c>
      <c r="E96" s="42" t="s">
        <v>3</v>
      </c>
      <c r="F96" s="39">
        <v>0</v>
      </c>
      <c r="G96" s="42">
        <v>0</v>
      </c>
      <c r="H96" s="42">
        <v>0</v>
      </c>
      <c r="I96" s="42">
        <v>0</v>
      </c>
      <c r="J96" s="42">
        <v>0</v>
      </c>
      <c r="K96" s="42">
        <v>3</v>
      </c>
      <c r="L96" s="420"/>
      <c r="M96" s="42">
        <v>0</v>
      </c>
      <c r="N96" s="42">
        <v>0</v>
      </c>
      <c r="O96" s="42">
        <v>0</v>
      </c>
      <c r="P96" s="42">
        <v>0</v>
      </c>
      <c r="Q96" s="42">
        <v>0</v>
      </c>
      <c r="R96" s="42">
        <v>0</v>
      </c>
      <c r="S96" s="49"/>
      <c r="T96" s="49"/>
      <c r="U96" s="42">
        <v>3</v>
      </c>
      <c r="V96" s="53">
        <f t="shared" si="4"/>
        <v>-3</v>
      </c>
      <c r="W96" s="49"/>
      <c r="X96" s="49"/>
      <c r="Y96" s="49"/>
      <c r="Z96" s="49"/>
      <c r="AA96" s="255"/>
      <c r="AC96" s="144">
        <v>2</v>
      </c>
    </row>
    <row r="97" spans="2:29" ht="16.5" customHeight="1">
      <c r="B97" s="42"/>
      <c r="C97" s="458" t="s">
        <v>901</v>
      </c>
      <c r="D97" s="49" t="s">
        <v>888</v>
      </c>
      <c r="E97" s="42"/>
      <c r="F97" s="125"/>
      <c r="G97" s="49"/>
      <c r="H97" s="49"/>
      <c r="I97" s="49"/>
      <c r="J97" s="49"/>
      <c r="K97" s="42"/>
      <c r="L97" s="49"/>
      <c r="M97" s="49"/>
      <c r="N97" s="49"/>
      <c r="O97" s="49"/>
      <c r="P97" s="49"/>
      <c r="Q97" s="49"/>
      <c r="R97" s="49"/>
      <c r="S97" s="49"/>
      <c r="T97" s="49"/>
      <c r="U97" s="39"/>
      <c r="V97" s="42"/>
      <c r="W97" s="49"/>
      <c r="X97" s="49"/>
      <c r="Y97" s="49"/>
      <c r="Z97" s="49"/>
      <c r="AA97" s="255"/>
      <c r="AC97" s="232">
        <v>2</v>
      </c>
    </row>
    <row r="98" spans="2:29" ht="16.5" customHeight="1">
      <c r="B98" s="42"/>
      <c r="C98" s="459"/>
      <c r="D98" s="49" t="s">
        <v>889</v>
      </c>
      <c r="E98" s="42"/>
      <c r="F98" s="125"/>
      <c r="G98" s="49"/>
      <c r="H98" s="49"/>
      <c r="I98" s="49"/>
      <c r="J98" s="49"/>
      <c r="K98" s="42"/>
      <c r="L98" s="49"/>
      <c r="M98" s="49"/>
      <c r="N98" s="49"/>
      <c r="O98" s="49"/>
      <c r="P98" s="49"/>
      <c r="Q98" s="49"/>
      <c r="R98" s="49"/>
      <c r="S98" s="49"/>
      <c r="T98" s="49"/>
      <c r="U98" s="39"/>
      <c r="V98" s="42"/>
      <c r="W98" s="49"/>
      <c r="X98" s="49"/>
      <c r="Y98" s="49"/>
      <c r="Z98" s="49"/>
      <c r="AA98" s="255"/>
      <c r="AC98" s="232">
        <v>2</v>
      </c>
    </row>
    <row r="99" spans="2:29" ht="16.5" customHeight="1">
      <c r="B99" s="42"/>
      <c r="C99" s="459"/>
      <c r="D99" s="49" t="s">
        <v>890</v>
      </c>
      <c r="E99" s="42"/>
      <c r="F99" s="125"/>
      <c r="G99" s="49"/>
      <c r="H99" s="49"/>
      <c r="I99" s="49"/>
      <c r="J99" s="49"/>
      <c r="K99" s="42"/>
      <c r="L99" s="49"/>
      <c r="M99" s="49"/>
      <c r="N99" s="49"/>
      <c r="O99" s="49"/>
      <c r="P99" s="49"/>
      <c r="Q99" s="49"/>
      <c r="R99" s="49"/>
      <c r="S99" s="49"/>
      <c r="T99" s="49"/>
      <c r="U99" s="39"/>
      <c r="V99" s="42"/>
      <c r="W99" s="49"/>
      <c r="X99" s="49"/>
      <c r="Y99" s="49"/>
      <c r="Z99" s="49"/>
      <c r="AA99" s="255"/>
      <c r="AC99" s="232">
        <v>2</v>
      </c>
    </row>
    <row r="100" spans="2:29" ht="16.5" customHeight="1">
      <c r="B100" s="42"/>
      <c r="C100" s="459"/>
      <c r="D100" s="49" t="s">
        <v>891</v>
      </c>
      <c r="E100" s="42"/>
      <c r="F100" s="125"/>
      <c r="G100" s="49"/>
      <c r="H100" s="49"/>
      <c r="I100" s="49"/>
      <c r="J100" s="49"/>
      <c r="K100" s="42"/>
      <c r="L100" s="49"/>
      <c r="M100" s="49"/>
      <c r="N100" s="49"/>
      <c r="O100" s="49"/>
      <c r="P100" s="49"/>
      <c r="Q100" s="49"/>
      <c r="R100" s="49"/>
      <c r="S100" s="49"/>
      <c r="T100" s="49"/>
      <c r="U100" s="39"/>
      <c r="V100" s="42"/>
      <c r="W100" s="49"/>
      <c r="X100" s="49"/>
      <c r="Y100" s="49"/>
      <c r="Z100" s="49"/>
      <c r="AA100" s="255"/>
      <c r="AC100" s="232">
        <v>2</v>
      </c>
    </row>
    <row r="101" spans="2:29" ht="16.5" customHeight="1">
      <c r="B101" s="42"/>
      <c r="C101" s="459"/>
      <c r="D101" s="49" t="s">
        <v>892</v>
      </c>
      <c r="E101" s="42"/>
      <c r="F101" s="125"/>
      <c r="G101" s="49"/>
      <c r="H101" s="49"/>
      <c r="I101" s="49"/>
      <c r="J101" s="49"/>
      <c r="K101" s="42"/>
      <c r="L101" s="49"/>
      <c r="M101" s="49"/>
      <c r="N101" s="49"/>
      <c r="O101" s="49"/>
      <c r="P101" s="49"/>
      <c r="Q101" s="49"/>
      <c r="R101" s="49"/>
      <c r="S101" s="49"/>
      <c r="T101" s="49"/>
      <c r="U101" s="39"/>
      <c r="V101" s="42"/>
      <c r="W101" s="49"/>
      <c r="X101" s="49"/>
      <c r="Y101" s="49"/>
      <c r="Z101" s="49"/>
      <c r="AA101" s="255"/>
      <c r="AC101" s="232">
        <v>4</v>
      </c>
    </row>
    <row r="102" spans="2:29" ht="16.5" customHeight="1">
      <c r="B102" s="42"/>
      <c r="C102" s="459"/>
      <c r="D102" s="49" t="s">
        <v>893</v>
      </c>
      <c r="E102" s="42"/>
      <c r="F102" s="125"/>
      <c r="G102" s="49"/>
      <c r="H102" s="49"/>
      <c r="I102" s="49"/>
      <c r="J102" s="49"/>
      <c r="K102" s="42"/>
      <c r="L102" s="49"/>
      <c r="M102" s="49"/>
      <c r="N102" s="49"/>
      <c r="O102" s="49"/>
      <c r="P102" s="49"/>
      <c r="Q102" s="49"/>
      <c r="R102" s="49"/>
      <c r="S102" s="49"/>
      <c r="T102" s="49"/>
      <c r="U102" s="39"/>
      <c r="V102" s="42"/>
      <c r="W102" s="49"/>
      <c r="X102" s="49"/>
      <c r="Y102" s="49"/>
      <c r="Z102" s="49"/>
      <c r="AA102" s="255"/>
      <c r="AC102" s="232">
        <v>2</v>
      </c>
    </row>
    <row r="103" spans="2:29" ht="31.5" customHeight="1">
      <c r="B103" s="42"/>
      <c r="C103" s="459"/>
      <c r="D103" s="302" t="s">
        <v>894</v>
      </c>
      <c r="E103" s="42"/>
      <c r="F103" s="125"/>
      <c r="G103" s="49"/>
      <c r="H103" s="49"/>
      <c r="I103" s="49"/>
      <c r="J103" s="49"/>
      <c r="K103" s="42"/>
      <c r="L103" s="49"/>
      <c r="M103" s="49"/>
      <c r="N103" s="49"/>
      <c r="O103" s="49"/>
      <c r="P103" s="49"/>
      <c r="Q103" s="49"/>
      <c r="R103" s="49"/>
      <c r="S103" s="49"/>
      <c r="T103" s="49"/>
      <c r="U103" s="39"/>
      <c r="V103" s="42"/>
      <c r="W103" s="49"/>
      <c r="X103" s="49"/>
      <c r="Y103" s="49"/>
      <c r="Z103" s="49"/>
      <c r="AA103" s="255"/>
      <c r="AC103" s="232" t="s">
        <v>900</v>
      </c>
    </row>
    <row r="104" spans="2:29" ht="16.5" customHeight="1">
      <c r="B104" s="42"/>
      <c r="C104" s="459"/>
      <c r="D104" s="49" t="s">
        <v>895</v>
      </c>
      <c r="E104" s="42"/>
      <c r="F104" s="125"/>
      <c r="G104" s="49"/>
      <c r="H104" s="49"/>
      <c r="I104" s="49"/>
      <c r="J104" s="49"/>
      <c r="K104" s="42"/>
      <c r="L104" s="49"/>
      <c r="M104" s="49"/>
      <c r="N104" s="49"/>
      <c r="O104" s="49"/>
      <c r="P104" s="49"/>
      <c r="Q104" s="49"/>
      <c r="R104" s="49"/>
      <c r="S104" s="49"/>
      <c r="T104" s="49"/>
      <c r="U104" s="39"/>
      <c r="V104" s="42"/>
      <c r="W104" s="49"/>
      <c r="X104" s="49"/>
      <c r="Y104" s="49"/>
      <c r="Z104" s="49"/>
      <c r="AA104" s="255"/>
      <c r="AC104" s="232">
        <v>1</v>
      </c>
    </row>
    <row r="105" spans="2:29" ht="16.5" customHeight="1">
      <c r="B105" s="42"/>
      <c r="C105" s="459"/>
      <c r="D105" s="49" t="s">
        <v>896</v>
      </c>
      <c r="E105" s="42"/>
      <c r="F105" s="125"/>
      <c r="G105" s="49"/>
      <c r="H105" s="49"/>
      <c r="I105" s="49"/>
      <c r="J105" s="49"/>
      <c r="K105" s="42"/>
      <c r="L105" s="49"/>
      <c r="M105" s="49"/>
      <c r="N105" s="49"/>
      <c r="O105" s="49"/>
      <c r="P105" s="49"/>
      <c r="Q105" s="49"/>
      <c r="R105" s="49"/>
      <c r="S105" s="49"/>
      <c r="T105" s="49"/>
      <c r="U105" s="39"/>
      <c r="V105" s="42"/>
      <c r="W105" s="49"/>
      <c r="X105" s="49"/>
      <c r="Y105" s="49"/>
      <c r="Z105" s="49"/>
      <c r="AA105" s="255"/>
      <c r="AC105" s="232">
        <v>1</v>
      </c>
    </row>
    <row r="106" spans="2:29" ht="16.5" customHeight="1">
      <c r="B106" s="177"/>
      <c r="C106" s="459"/>
      <c r="D106" s="304" t="s">
        <v>897</v>
      </c>
      <c r="E106" s="177"/>
      <c r="F106" s="305"/>
      <c r="G106" s="304"/>
      <c r="H106" s="304"/>
      <c r="I106" s="304"/>
      <c r="J106" s="304"/>
      <c r="K106" s="177"/>
      <c r="L106" s="304"/>
      <c r="M106" s="304"/>
      <c r="N106" s="304"/>
      <c r="O106" s="304"/>
      <c r="P106" s="304"/>
      <c r="Q106" s="304"/>
      <c r="R106" s="304"/>
      <c r="S106" s="304"/>
      <c r="T106" s="304"/>
      <c r="U106" s="180"/>
      <c r="V106" s="177"/>
      <c r="W106" s="304"/>
      <c r="X106" s="304"/>
      <c r="Y106" s="304"/>
      <c r="Z106" s="304"/>
      <c r="AA106" s="306"/>
      <c r="AB106" s="304"/>
      <c r="AC106" s="232">
        <v>2</v>
      </c>
    </row>
    <row r="107" spans="2:29" ht="16.5" customHeight="1">
      <c r="B107" s="42"/>
      <c r="C107" s="459"/>
      <c r="D107" s="303" t="s">
        <v>898</v>
      </c>
      <c r="E107" s="42"/>
      <c r="F107" s="125"/>
      <c r="G107" s="49"/>
      <c r="H107" s="49"/>
      <c r="I107" s="49"/>
      <c r="J107" s="49"/>
      <c r="K107" s="42"/>
      <c r="L107" s="49"/>
      <c r="M107" s="49"/>
      <c r="N107" s="49"/>
      <c r="O107" s="49"/>
      <c r="P107" s="49"/>
      <c r="Q107" s="49"/>
      <c r="R107" s="49"/>
      <c r="S107" s="49"/>
      <c r="T107" s="49"/>
      <c r="U107" s="39"/>
      <c r="V107" s="42"/>
      <c r="W107" s="49"/>
      <c r="X107" s="49"/>
      <c r="Y107" s="49"/>
      <c r="Z107" s="49"/>
      <c r="AA107" s="42"/>
      <c r="AC107" s="232">
        <v>1</v>
      </c>
    </row>
    <row r="108" spans="2:29" ht="16.5" customHeight="1">
      <c r="B108" s="42"/>
      <c r="C108" s="460"/>
      <c r="D108" s="303" t="s">
        <v>899</v>
      </c>
      <c r="E108" s="42"/>
      <c r="F108" s="125"/>
      <c r="G108" s="49"/>
      <c r="H108" s="49"/>
      <c r="I108" s="49"/>
      <c r="J108" s="49"/>
      <c r="K108" s="42"/>
      <c r="L108" s="49"/>
      <c r="M108" s="49"/>
      <c r="N108" s="49"/>
      <c r="O108" s="49"/>
      <c r="P108" s="49"/>
      <c r="Q108" s="49"/>
      <c r="R108" s="49"/>
      <c r="S108" s="49"/>
      <c r="T108" s="49"/>
      <c r="U108" s="39"/>
      <c r="V108" s="42"/>
      <c r="W108" s="49"/>
      <c r="X108" s="49"/>
      <c r="Y108" s="49"/>
      <c r="Z108" s="49"/>
      <c r="AA108" s="42"/>
      <c r="AC108" s="232">
        <v>2</v>
      </c>
    </row>
    <row r="109" spans="2:29" ht="16.5" customHeight="1">
      <c r="D109" s="463" t="s">
        <v>940</v>
      </c>
      <c r="U109" s="262"/>
      <c r="AB109" s="307"/>
      <c r="AC109" s="464">
        <v>1</v>
      </c>
    </row>
    <row r="110" spans="2:29" ht="16.5" customHeight="1">
      <c r="U110" s="262"/>
    </row>
    <row r="111" spans="2:29" ht="16.5" customHeight="1">
      <c r="U111" s="262"/>
    </row>
    <row r="112" spans="2:29" ht="16.5" customHeight="1">
      <c r="U112" s="262"/>
    </row>
    <row r="113" spans="21:21" ht="16.5" customHeight="1">
      <c r="U113" s="262"/>
    </row>
    <row r="114" spans="21:21" ht="16.5" customHeight="1">
      <c r="U114" s="262"/>
    </row>
    <row r="115" spans="21:21" ht="16.5" customHeight="1">
      <c r="U115" s="262"/>
    </row>
    <row r="116" spans="21:21" ht="16.5" customHeight="1">
      <c r="U116" s="262"/>
    </row>
    <row r="117" spans="21:21" ht="16.5" customHeight="1">
      <c r="U117" s="262"/>
    </row>
    <row r="118" spans="21:21" ht="16.5" customHeight="1">
      <c r="U118" s="262"/>
    </row>
    <row r="119" spans="21:21" ht="16.5" customHeight="1">
      <c r="U119" s="262"/>
    </row>
    <row r="120" spans="21:21" ht="16.5" customHeight="1">
      <c r="U120" s="262"/>
    </row>
    <row r="121" spans="21:21" ht="16.5" customHeight="1">
      <c r="U121" s="262"/>
    </row>
    <row r="122" spans="21:21" ht="16.5" customHeight="1">
      <c r="U122" s="262"/>
    </row>
    <row r="123" spans="21:21" ht="16.5" customHeight="1">
      <c r="U123" s="262"/>
    </row>
    <row r="124" spans="21:21" ht="16.5" customHeight="1">
      <c r="U124" s="262"/>
    </row>
    <row r="125" spans="21:21" ht="16.5" customHeight="1">
      <c r="U125" s="261"/>
    </row>
  </sheetData>
  <mergeCells count="22">
    <mergeCell ref="AC2:AC3"/>
    <mergeCell ref="C97:C108"/>
    <mergeCell ref="AB1:AB3"/>
    <mergeCell ref="G2:K2"/>
    <mergeCell ref="L3:L96"/>
    <mergeCell ref="AA2:AA3"/>
    <mergeCell ref="A1:AA1"/>
    <mergeCell ref="A2:A3"/>
    <mergeCell ref="U2:U3"/>
    <mergeCell ref="V2:V3"/>
    <mergeCell ref="R2:R3"/>
    <mergeCell ref="S2:S3"/>
    <mergeCell ref="T2:T3"/>
    <mergeCell ref="B2:B3"/>
    <mergeCell ref="C2:C3"/>
    <mergeCell ref="D2:D3"/>
    <mergeCell ref="E2:E3"/>
    <mergeCell ref="W2:W3"/>
    <mergeCell ref="X2:X3"/>
    <mergeCell ref="Y2:Y3"/>
    <mergeCell ref="F2:F3"/>
    <mergeCell ref="M2:P2"/>
  </mergeCells>
  <phoneticPr fontId="23" type="noConversion"/>
  <pageMargins left="0.7" right="0.7" top="0.75" bottom="0.75" header="0.3" footer="0.3"/>
  <pageSetup paperSize="9" orientation="portrait" verticalDpi="300" r:id="rId1"/>
  <rowBreaks count="2" manualBreakCount="2">
    <brk id="72" max="16383" man="1"/>
    <brk id="96" max="16383" man="1"/>
  </rowBreaks>
  <colBreaks count="1" manualBreakCount="1">
    <brk id="6" max="105" man="1"/>
  </col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U45"/>
  <sheetViews>
    <sheetView topLeftCell="B1" zoomScaleNormal="100" workbookViewId="0">
      <pane ySplit="3" topLeftCell="A25" activePane="bottomLeft" state="frozen"/>
      <selection pane="bottomLeft" activeCell="U45" sqref="U45"/>
    </sheetView>
  </sheetViews>
  <sheetFormatPr defaultRowHeight="15"/>
  <cols>
    <col min="1" max="1" width="0" style="1" hidden="1" customWidth="1"/>
    <col min="2" max="2" width="6" style="2" customWidth="1"/>
    <col min="3" max="3" width="15.7109375" hidden="1" customWidth="1"/>
    <col min="4" max="4" width="13.140625" style="2" customWidth="1"/>
    <col min="5" max="5" width="34.7109375" hidden="1" customWidth="1"/>
    <col min="6" max="6" width="39.7109375" customWidth="1"/>
    <col min="7" max="7" width="7.5703125" customWidth="1"/>
    <col min="8" max="8" width="12.42578125" customWidth="1"/>
    <col min="9" max="9" width="1.85546875" hidden="1" customWidth="1"/>
    <col min="10" max="10" width="12" hidden="1" customWidth="1"/>
    <col min="11" max="11" width="10.28515625" hidden="1" customWidth="1"/>
    <col min="12" max="12" width="15.42578125" hidden="1" customWidth="1"/>
    <col min="13" max="13" width="12" hidden="1" customWidth="1"/>
    <col min="14" max="14" width="9.5703125" customWidth="1"/>
    <col min="15" max="15" width="9.28515625" hidden="1" customWidth="1"/>
    <col min="16" max="16" width="12.7109375" hidden="1" customWidth="1"/>
    <col min="17" max="17" width="13.5703125" hidden="1" customWidth="1"/>
    <col min="18" max="18" width="10.7109375" style="2" hidden="1" customWidth="1"/>
    <col min="19" max="19" width="7.85546875" style="2" hidden="1" customWidth="1"/>
    <col min="20" max="20" width="23.5703125" hidden="1" customWidth="1"/>
  </cols>
  <sheetData>
    <row r="1" spans="1:21" ht="27">
      <c r="A1" s="431" t="s">
        <v>640</v>
      </c>
      <c r="B1" s="431"/>
      <c r="C1" s="431"/>
      <c r="D1" s="431"/>
      <c r="E1" s="431"/>
      <c r="F1" s="431"/>
      <c r="G1" s="431"/>
      <c r="H1" s="431"/>
      <c r="I1" s="431"/>
      <c r="J1" s="431"/>
      <c r="K1" s="431"/>
      <c r="L1" s="431"/>
      <c r="M1" s="431"/>
      <c r="N1" s="431"/>
      <c r="O1" s="431"/>
      <c r="P1" s="431"/>
      <c r="Q1" s="431"/>
      <c r="R1" s="431"/>
      <c r="S1" s="431"/>
      <c r="T1" s="432"/>
    </row>
    <row r="2" spans="1:21" s="3" customFormat="1" ht="36.75" customHeight="1">
      <c r="A2" s="423" t="s">
        <v>582</v>
      </c>
      <c r="B2" s="434" t="s">
        <v>257</v>
      </c>
      <c r="C2" s="209" t="s">
        <v>7</v>
      </c>
      <c r="D2" s="433" t="s">
        <v>21</v>
      </c>
      <c r="E2" s="209" t="s">
        <v>297</v>
      </c>
      <c r="F2" s="433" t="s">
        <v>1</v>
      </c>
      <c r="G2" s="433" t="s">
        <v>2</v>
      </c>
      <c r="H2" s="209" t="s">
        <v>6</v>
      </c>
      <c r="I2" s="435"/>
      <c r="J2" s="209" t="s">
        <v>612</v>
      </c>
      <c r="K2" s="433" t="s">
        <v>444</v>
      </c>
      <c r="L2" s="433" t="s">
        <v>532</v>
      </c>
      <c r="M2" s="433" t="s">
        <v>533</v>
      </c>
      <c r="N2" s="438" t="s">
        <v>791</v>
      </c>
      <c r="O2" s="438" t="s">
        <v>450</v>
      </c>
      <c r="P2" s="433" t="s">
        <v>530</v>
      </c>
      <c r="Q2" s="433" t="s">
        <v>531</v>
      </c>
      <c r="R2" s="209" t="s">
        <v>529</v>
      </c>
      <c r="S2" s="429" t="s">
        <v>656</v>
      </c>
      <c r="T2" s="433" t="s">
        <v>171</v>
      </c>
      <c r="U2" s="362" t="s">
        <v>866</v>
      </c>
    </row>
    <row r="3" spans="1:21" s="3" customFormat="1" ht="19.5" customHeight="1">
      <c r="A3" s="423"/>
      <c r="B3" s="434"/>
      <c r="C3" s="209"/>
      <c r="D3" s="433"/>
      <c r="E3" s="209"/>
      <c r="F3" s="433"/>
      <c r="G3" s="433"/>
      <c r="H3" s="209" t="s">
        <v>536</v>
      </c>
      <c r="I3" s="436"/>
      <c r="J3" s="209"/>
      <c r="K3" s="433"/>
      <c r="L3" s="433"/>
      <c r="M3" s="433"/>
      <c r="N3" s="438"/>
      <c r="O3" s="438"/>
      <c r="P3" s="433"/>
      <c r="Q3" s="433"/>
      <c r="R3" s="209" t="s">
        <v>655</v>
      </c>
      <c r="S3" s="430"/>
      <c r="T3" s="433"/>
      <c r="U3" s="362"/>
    </row>
    <row r="4" spans="1:21" ht="15" customHeight="1">
      <c r="B4" s="135">
        <v>1</v>
      </c>
      <c r="C4" s="439">
        <v>43802</v>
      </c>
      <c r="D4" s="14" t="s">
        <v>296</v>
      </c>
      <c r="E4" s="1" t="s">
        <v>337</v>
      </c>
      <c r="F4" s="1" t="s">
        <v>269</v>
      </c>
      <c r="G4" s="14" t="s">
        <v>5</v>
      </c>
      <c r="H4" s="14">
        <v>1</v>
      </c>
      <c r="I4" s="436"/>
      <c r="J4" s="14"/>
      <c r="K4" s="14">
        <v>0</v>
      </c>
      <c r="L4" s="14"/>
      <c r="M4" s="14"/>
      <c r="N4" s="106">
        <f>H4-K4</f>
        <v>1</v>
      </c>
      <c r="O4" s="14">
        <v>0</v>
      </c>
      <c r="P4" s="14"/>
      <c r="Q4" s="14"/>
      <c r="R4" s="14"/>
      <c r="S4" s="194"/>
      <c r="T4" s="101"/>
    </row>
    <row r="5" spans="1:21">
      <c r="B5" s="440">
        <v>2</v>
      </c>
      <c r="C5" s="363"/>
      <c r="D5" s="377" t="s">
        <v>298</v>
      </c>
      <c r="E5" s="1" t="s">
        <v>378</v>
      </c>
      <c r="F5" s="1" t="s">
        <v>277</v>
      </c>
      <c r="G5" s="14" t="s">
        <v>3</v>
      </c>
      <c r="H5" s="14">
        <v>24</v>
      </c>
      <c r="I5" s="436"/>
      <c r="J5" s="14"/>
      <c r="K5" s="14">
        <v>0</v>
      </c>
      <c r="L5" s="14"/>
      <c r="M5" s="14"/>
      <c r="N5" s="106">
        <f t="shared" ref="N5:N44" si="0">H5-K5</f>
        <v>24</v>
      </c>
      <c r="O5" s="14">
        <v>0</v>
      </c>
      <c r="P5" s="14"/>
      <c r="Q5" s="14"/>
      <c r="R5" s="14"/>
      <c r="S5" s="14"/>
      <c r="T5" s="1"/>
    </row>
    <row r="6" spans="1:21">
      <c r="B6" s="441"/>
      <c r="C6" s="363"/>
      <c r="D6" s="364"/>
      <c r="E6" s="1" t="s">
        <v>379</v>
      </c>
      <c r="F6" s="1" t="s">
        <v>277</v>
      </c>
      <c r="G6" s="14" t="s">
        <v>5</v>
      </c>
      <c r="H6" s="14">
        <v>1</v>
      </c>
      <c r="I6" s="436"/>
      <c r="J6" s="14"/>
      <c r="K6" s="14">
        <v>0</v>
      </c>
      <c r="L6" s="14"/>
      <c r="M6" s="14"/>
      <c r="N6" s="106">
        <f t="shared" si="0"/>
        <v>1</v>
      </c>
      <c r="O6" s="14">
        <v>0</v>
      </c>
      <c r="P6" s="14"/>
      <c r="Q6" s="14"/>
      <c r="R6" s="14"/>
      <c r="S6" s="14"/>
      <c r="T6" s="1"/>
    </row>
    <row r="7" spans="1:21">
      <c r="B7" s="135">
        <v>3</v>
      </c>
      <c r="C7" s="363"/>
      <c r="D7" s="14" t="s">
        <v>300</v>
      </c>
      <c r="E7" s="1" t="s">
        <v>338</v>
      </c>
      <c r="F7" s="1" t="s">
        <v>278</v>
      </c>
      <c r="G7" s="14" t="s">
        <v>5</v>
      </c>
      <c r="H7" s="14">
        <v>1</v>
      </c>
      <c r="I7" s="436"/>
      <c r="J7" s="14"/>
      <c r="K7" s="14">
        <v>0</v>
      </c>
      <c r="L7" s="14"/>
      <c r="M7" s="14"/>
      <c r="N7" s="106">
        <f t="shared" si="0"/>
        <v>1</v>
      </c>
      <c r="O7" s="14">
        <v>0</v>
      </c>
      <c r="P7" s="14"/>
      <c r="Q7" s="14"/>
      <c r="R7" s="14"/>
      <c r="S7" s="14"/>
      <c r="T7" s="1"/>
    </row>
    <row r="8" spans="1:21">
      <c r="B8" s="135">
        <v>4</v>
      </c>
      <c r="C8" s="363"/>
      <c r="D8" s="14" t="s">
        <v>299</v>
      </c>
      <c r="E8" s="1" t="s">
        <v>339</v>
      </c>
      <c r="F8" s="1" t="s">
        <v>278</v>
      </c>
      <c r="G8" s="14" t="s">
        <v>5</v>
      </c>
      <c r="H8" s="14">
        <v>1</v>
      </c>
      <c r="I8" s="436"/>
      <c r="J8" s="14"/>
      <c r="K8" s="14">
        <v>0</v>
      </c>
      <c r="L8" s="14"/>
      <c r="M8" s="14"/>
      <c r="N8" s="106">
        <f t="shared" si="0"/>
        <v>1</v>
      </c>
      <c r="O8" s="14">
        <v>0</v>
      </c>
      <c r="P8" s="14"/>
      <c r="Q8" s="14"/>
      <c r="R8" s="14"/>
      <c r="S8" s="14"/>
      <c r="T8" s="1" t="s">
        <v>377</v>
      </c>
    </row>
    <row r="9" spans="1:21">
      <c r="B9" s="135">
        <v>5</v>
      </c>
      <c r="C9" s="363"/>
      <c r="D9" s="14" t="s">
        <v>302</v>
      </c>
      <c r="E9" s="1" t="s">
        <v>340</v>
      </c>
      <c r="F9" s="1" t="s">
        <v>278</v>
      </c>
      <c r="G9" s="14" t="s">
        <v>5</v>
      </c>
      <c r="H9" s="14">
        <v>1</v>
      </c>
      <c r="I9" s="436"/>
      <c r="J9" s="14"/>
      <c r="K9" s="14">
        <v>0</v>
      </c>
      <c r="L9" s="14"/>
      <c r="M9" s="14"/>
      <c r="N9" s="106">
        <f t="shared" si="0"/>
        <v>1</v>
      </c>
      <c r="O9" s="14">
        <v>0</v>
      </c>
      <c r="P9" s="14"/>
      <c r="Q9" s="14"/>
      <c r="R9" s="14"/>
      <c r="S9" s="14"/>
      <c r="T9" s="1"/>
    </row>
    <row r="10" spans="1:21">
      <c r="B10" s="135">
        <v>6</v>
      </c>
      <c r="C10" s="363"/>
      <c r="D10" s="14" t="s">
        <v>301</v>
      </c>
      <c r="E10" s="1" t="s">
        <v>341</v>
      </c>
      <c r="F10" s="1" t="s">
        <v>278</v>
      </c>
      <c r="G10" s="14" t="s">
        <v>5</v>
      </c>
      <c r="H10" s="14">
        <v>1</v>
      </c>
      <c r="I10" s="436"/>
      <c r="J10" s="14"/>
      <c r="K10" s="14">
        <v>0</v>
      </c>
      <c r="L10" s="14"/>
      <c r="M10" s="14"/>
      <c r="N10" s="106">
        <f t="shared" si="0"/>
        <v>1</v>
      </c>
      <c r="O10" s="14">
        <v>0</v>
      </c>
      <c r="P10" s="14"/>
      <c r="Q10" s="14"/>
      <c r="R10" s="14"/>
      <c r="S10" s="14"/>
      <c r="T10" s="1"/>
    </row>
    <row r="11" spans="1:21">
      <c r="B11" s="135">
        <v>7</v>
      </c>
      <c r="C11" s="363"/>
      <c r="D11" s="14" t="s">
        <v>303</v>
      </c>
      <c r="E11" s="1" t="s">
        <v>342</v>
      </c>
      <c r="F11" s="1" t="s">
        <v>279</v>
      </c>
      <c r="G11" s="14" t="s">
        <v>5</v>
      </c>
      <c r="H11" s="14">
        <v>4</v>
      </c>
      <c r="I11" s="436"/>
      <c r="J11" s="14"/>
      <c r="K11" s="14">
        <v>0</v>
      </c>
      <c r="L11" s="14"/>
      <c r="M11" s="14"/>
      <c r="N11" s="106">
        <f t="shared" si="0"/>
        <v>4</v>
      </c>
      <c r="O11" s="14">
        <v>0</v>
      </c>
      <c r="P11" s="14"/>
      <c r="Q11" s="14"/>
      <c r="R11" s="14"/>
      <c r="S11" s="14"/>
      <c r="T11" s="1"/>
    </row>
    <row r="12" spans="1:21">
      <c r="B12" s="135">
        <v>8</v>
      </c>
      <c r="C12" s="363"/>
      <c r="D12" s="14" t="s">
        <v>304</v>
      </c>
      <c r="E12" s="1" t="s">
        <v>343</v>
      </c>
      <c r="F12" s="1" t="s">
        <v>280</v>
      </c>
      <c r="G12" s="14" t="s">
        <v>5</v>
      </c>
      <c r="H12" s="14">
        <v>1</v>
      </c>
      <c r="I12" s="436"/>
      <c r="J12" s="14"/>
      <c r="K12" s="14">
        <v>0</v>
      </c>
      <c r="L12" s="14"/>
      <c r="M12" s="14"/>
      <c r="N12" s="106">
        <f t="shared" si="0"/>
        <v>1</v>
      </c>
      <c r="O12" s="14">
        <v>0</v>
      </c>
      <c r="P12" s="14"/>
      <c r="Q12" s="14"/>
      <c r="R12" s="14"/>
      <c r="S12" s="14"/>
      <c r="T12" s="1"/>
    </row>
    <row r="13" spans="1:21">
      <c r="B13" s="135">
        <v>9</v>
      </c>
      <c r="C13" s="363"/>
      <c r="D13" s="14" t="s">
        <v>305</v>
      </c>
      <c r="E13" s="1" t="s">
        <v>344</v>
      </c>
      <c r="F13" s="1" t="s">
        <v>280</v>
      </c>
      <c r="G13" s="14" t="s">
        <v>5</v>
      </c>
      <c r="H13" s="14">
        <v>1</v>
      </c>
      <c r="I13" s="436"/>
      <c r="J13" s="14"/>
      <c r="K13" s="14">
        <v>0</v>
      </c>
      <c r="L13" s="14"/>
      <c r="M13" s="14"/>
      <c r="N13" s="106">
        <f t="shared" si="0"/>
        <v>1</v>
      </c>
      <c r="O13" s="14">
        <v>0</v>
      </c>
      <c r="P13" s="14"/>
      <c r="Q13" s="14"/>
      <c r="R13" s="14"/>
      <c r="S13" s="14"/>
      <c r="T13" s="1"/>
    </row>
    <row r="14" spans="1:21">
      <c r="B14" s="135">
        <v>10</v>
      </c>
      <c r="C14" s="363"/>
      <c r="D14" s="14" t="s">
        <v>306</v>
      </c>
      <c r="E14" s="1" t="s">
        <v>345</v>
      </c>
      <c r="F14" s="1" t="s">
        <v>281</v>
      </c>
      <c r="G14" s="14" t="s">
        <v>5</v>
      </c>
      <c r="H14" s="14">
        <v>1</v>
      </c>
      <c r="I14" s="436"/>
      <c r="J14" s="14"/>
      <c r="K14" s="14">
        <v>0</v>
      </c>
      <c r="L14" s="14"/>
      <c r="M14" s="14"/>
      <c r="N14" s="106">
        <f t="shared" si="0"/>
        <v>1</v>
      </c>
      <c r="O14" s="14">
        <v>0</v>
      </c>
      <c r="P14" s="14"/>
      <c r="Q14" s="14"/>
      <c r="R14" s="14"/>
      <c r="S14" s="14"/>
      <c r="T14" s="1"/>
    </row>
    <row r="15" spans="1:21">
      <c r="B15" s="135">
        <v>11</v>
      </c>
      <c r="C15" s="363"/>
      <c r="D15" s="14" t="s">
        <v>307</v>
      </c>
      <c r="E15" s="1" t="s">
        <v>346</v>
      </c>
      <c r="F15" s="1" t="s">
        <v>282</v>
      </c>
      <c r="G15" s="14" t="s">
        <v>5</v>
      </c>
      <c r="H15" s="14">
        <v>1</v>
      </c>
      <c r="I15" s="436"/>
      <c r="J15" s="14"/>
      <c r="K15" s="14">
        <v>0</v>
      </c>
      <c r="L15" s="14"/>
      <c r="M15" s="14"/>
      <c r="N15" s="106">
        <f t="shared" si="0"/>
        <v>1</v>
      </c>
      <c r="O15" s="14">
        <v>0</v>
      </c>
      <c r="P15" s="14"/>
      <c r="Q15" s="14"/>
      <c r="R15" s="14"/>
      <c r="S15" s="14"/>
      <c r="T15" s="1"/>
    </row>
    <row r="16" spans="1:21">
      <c r="B16" s="135">
        <v>12</v>
      </c>
      <c r="C16" s="363"/>
      <c r="D16" s="14" t="s">
        <v>308</v>
      </c>
      <c r="E16" s="1" t="s">
        <v>347</v>
      </c>
      <c r="F16" s="1" t="s">
        <v>282</v>
      </c>
      <c r="G16" s="14" t="s">
        <v>3</v>
      </c>
      <c r="H16" s="14">
        <v>2</v>
      </c>
      <c r="I16" s="436"/>
      <c r="J16" s="14"/>
      <c r="K16" s="14">
        <v>0</v>
      </c>
      <c r="L16" s="14"/>
      <c r="M16" s="14"/>
      <c r="N16" s="106">
        <f t="shared" si="0"/>
        <v>2</v>
      </c>
      <c r="O16" s="14">
        <v>0</v>
      </c>
      <c r="P16" s="14"/>
      <c r="Q16" s="14"/>
      <c r="R16" s="14"/>
      <c r="S16" s="14"/>
      <c r="T16" s="1"/>
    </row>
    <row r="17" spans="2:20">
      <c r="B17" s="135">
        <v>13</v>
      </c>
      <c r="C17" s="363"/>
      <c r="D17" s="14" t="s">
        <v>309</v>
      </c>
      <c r="E17" s="1" t="s">
        <v>348</v>
      </c>
      <c r="F17" s="1" t="s">
        <v>283</v>
      </c>
      <c r="G17" s="14" t="s">
        <v>5</v>
      </c>
      <c r="H17" s="14">
        <v>1</v>
      </c>
      <c r="I17" s="436"/>
      <c r="J17" s="14"/>
      <c r="K17" s="14">
        <v>0</v>
      </c>
      <c r="L17" s="14"/>
      <c r="M17" s="14"/>
      <c r="N17" s="106">
        <f t="shared" si="0"/>
        <v>1</v>
      </c>
      <c r="O17" s="14">
        <v>0</v>
      </c>
      <c r="P17" s="14"/>
      <c r="Q17" s="14"/>
      <c r="R17" s="14"/>
      <c r="S17" s="14"/>
      <c r="T17" s="1"/>
    </row>
    <row r="18" spans="2:20">
      <c r="B18" s="135">
        <v>14</v>
      </c>
      <c r="C18" s="363"/>
      <c r="D18" s="14" t="s">
        <v>310</v>
      </c>
      <c r="E18" s="1" t="s">
        <v>349</v>
      </c>
      <c r="F18" s="1" t="s">
        <v>282</v>
      </c>
      <c r="G18" s="14" t="s">
        <v>3</v>
      </c>
      <c r="H18" s="14">
        <v>2</v>
      </c>
      <c r="I18" s="436"/>
      <c r="J18" s="14"/>
      <c r="K18" s="14">
        <v>0</v>
      </c>
      <c r="L18" s="14"/>
      <c r="M18" s="14"/>
      <c r="N18" s="106">
        <f t="shared" si="0"/>
        <v>2</v>
      </c>
      <c r="O18" s="14">
        <v>0</v>
      </c>
      <c r="P18" s="14"/>
      <c r="Q18" s="14"/>
      <c r="R18" s="14"/>
      <c r="S18" s="14"/>
      <c r="T18" s="1"/>
    </row>
    <row r="19" spans="2:20">
      <c r="B19" s="135">
        <v>15</v>
      </c>
      <c r="C19" s="363"/>
      <c r="D19" s="14" t="s">
        <v>311</v>
      </c>
      <c r="E19" s="1" t="s">
        <v>350</v>
      </c>
      <c r="F19" s="1" t="s">
        <v>282</v>
      </c>
      <c r="G19" s="14" t="s">
        <v>3</v>
      </c>
      <c r="H19" s="14">
        <v>5</v>
      </c>
      <c r="I19" s="436"/>
      <c r="J19" s="14"/>
      <c r="K19" s="14">
        <v>0</v>
      </c>
      <c r="L19" s="14"/>
      <c r="M19" s="14"/>
      <c r="N19" s="106">
        <f t="shared" si="0"/>
        <v>5</v>
      </c>
      <c r="O19" s="14">
        <v>0</v>
      </c>
      <c r="P19" s="14"/>
      <c r="Q19" s="14"/>
      <c r="R19" s="14"/>
      <c r="S19" s="14"/>
      <c r="T19" s="1"/>
    </row>
    <row r="20" spans="2:20">
      <c r="B20" s="135">
        <v>16</v>
      </c>
      <c r="C20" s="363"/>
      <c r="D20" s="14" t="s">
        <v>312</v>
      </c>
      <c r="E20" s="1" t="s">
        <v>351</v>
      </c>
      <c r="F20" s="1" t="s">
        <v>284</v>
      </c>
      <c r="G20" s="14" t="s">
        <v>3</v>
      </c>
      <c r="H20" s="14">
        <v>2</v>
      </c>
      <c r="I20" s="436"/>
      <c r="J20" s="14"/>
      <c r="K20" s="14">
        <v>0</v>
      </c>
      <c r="L20" s="14"/>
      <c r="M20" s="14"/>
      <c r="N20" s="106">
        <f t="shared" si="0"/>
        <v>2</v>
      </c>
      <c r="O20" s="14">
        <v>0</v>
      </c>
      <c r="P20" s="14"/>
      <c r="Q20" s="14"/>
      <c r="R20" s="14"/>
      <c r="S20" s="14"/>
      <c r="T20" s="1"/>
    </row>
    <row r="21" spans="2:20">
      <c r="B21" s="135">
        <v>17</v>
      </c>
      <c r="C21" s="363"/>
      <c r="D21" s="14" t="s">
        <v>313</v>
      </c>
      <c r="E21" s="1" t="s">
        <v>352</v>
      </c>
      <c r="F21" s="1" t="s">
        <v>285</v>
      </c>
      <c r="G21" s="14" t="s">
        <v>5</v>
      </c>
      <c r="H21" s="14">
        <v>1</v>
      </c>
      <c r="I21" s="436"/>
      <c r="J21" s="14"/>
      <c r="K21" s="14">
        <v>0</v>
      </c>
      <c r="L21" s="14"/>
      <c r="M21" s="14"/>
      <c r="N21" s="106">
        <f t="shared" si="0"/>
        <v>1</v>
      </c>
      <c r="O21" s="14">
        <v>0</v>
      </c>
      <c r="P21" s="14"/>
      <c r="Q21" s="14"/>
      <c r="R21" s="14"/>
      <c r="S21" s="14"/>
      <c r="T21" s="1"/>
    </row>
    <row r="22" spans="2:20">
      <c r="B22" s="135">
        <v>18</v>
      </c>
      <c r="C22" s="363"/>
      <c r="D22" s="14" t="s">
        <v>314</v>
      </c>
      <c r="E22" s="1" t="s">
        <v>353</v>
      </c>
      <c r="F22" s="1" t="s">
        <v>375</v>
      </c>
      <c r="G22" s="14" t="s">
        <v>3</v>
      </c>
      <c r="H22" s="14">
        <v>2</v>
      </c>
      <c r="I22" s="436"/>
      <c r="J22" s="14"/>
      <c r="K22" s="14">
        <v>0</v>
      </c>
      <c r="L22" s="14"/>
      <c r="M22" s="14"/>
      <c r="N22" s="106">
        <f t="shared" si="0"/>
        <v>2</v>
      </c>
      <c r="O22" s="14">
        <v>0</v>
      </c>
      <c r="P22" s="14"/>
      <c r="Q22" s="14"/>
      <c r="R22" s="14"/>
      <c r="S22" s="14"/>
      <c r="T22" s="1"/>
    </row>
    <row r="23" spans="2:20">
      <c r="B23" s="135">
        <v>19</v>
      </c>
      <c r="C23" s="363"/>
      <c r="D23" s="14" t="s">
        <v>315</v>
      </c>
      <c r="E23" s="1" t="s">
        <v>354</v>
      </c>
      <c r="F23" s="1" t="s">
        <v>375</v>
      </c>
      <c r="G23" s="14" t="s">
        <v>3</v>
      </c>
      <c r="H23" s="14">
        <v>2</v>
      </c>
      <c r="I23" s="436"/>
      <c r="J23" s="14"/>
      <c r="K23" s="14">
        <v>0</v>
      </c>
      <c r="L23" s="14"/>
      <c r="M23" s="14"/>
      <c r="N23" s="106">
        <f t="shared" si="0"/>
        <v>2</v>
      </c>
      <c r="O23" s="14">
        <v>0</v>
      </c>
      <c r="P23" s="14"/>
      <c r="Q23" s="14"/>
      <c r="R23" s="14"/>
      <c r="S23" s="14"/>
      <c r="T23" s="1"/>
    </row>
    <row r="24" spans="2:20">
      <c r="B24" s="135">
        <v>20</v>
      </c>
      <c r="C24" s="363"/>
      <c r="D24" s="14" t="s">
        <v>316</v>
      </c>
      <c r="E24" s="1" t="s">
        <v>355</v>
      </c>
      <c r="F24" s="1" t="s">
        <v>375</v>
      </c>
      <c r="G24" s="14" t="s">
        <v>3</v>
      </c>
      <c r="H24" s="14">
        <v>2</v>
      </c>
      <c r="I24" s="436"/>
      <c r="J24" s="14"/>
      <c r="K24" s="14">
        <v>0</v>
      </c>
      <c r="L24" s="14"/>
      <c r="M24" s="14"/>
      <c r="N24" s="106">
        <f t="shared" si="0"/>
        <v>2</v>
      </c>
      <c r="O24" s="14">
        <v>0</v>
      </c>
      <c r="P24" s="14"/>
      <c r="Q24" s="14"/>
      <c r="R24" s="14"/>
      <c r="S24" s="14"/>
      <c r="T24" s="1"/>
    </row>
    <row r="25" spans="2:20">
      <c r="B25" s="135">
        <v>21</v>
      </c>
      <c r="C25" s="363"/>
      <c r="D25" s="14" t="s">
        <v>317</v>
      </c>
      <c r="E25" s="1" t="s">
        <v>356</v>
      </c>
      <c r="F25" s="1" t="s">
        <v>269</v>
      </c>
      <c r="G25" s="14" t="s">
        <v>3</v>
      </c>
      <c r="H25" s="14">
        <v>2</v>
      </c>
      <c r="I25" s="436"/>
      <c r="J25" s="14"/>
      <c r="K25" s="14">
        <v>0</v>
      </c>
      <c r="L25" s="14"/>
      <c r="M25" s="14"/>
      <c r="N25" s="106">
        <f t="shared" si="0"/>
        <v>2</v>
      </c>
      <c r="O25" s="14">
        <v>0</v>
      </c>
      <c r="P25" s="14"/>
      <c r="Q25" s="14"/>
      <c r="R25" s="14"/>
      <c r="S25" s="14"/>
      <c r="T25" s="1"/>
    </row>
    <row r="26" spans="2:20">
      <c r="B26" s="135">
        <v>22</v>
      </c>
      <c r="C26" s="363"/>
      <c r="D26" s="14" t="s">
        <v>318</v>
      </c>
      <c r="E26" s="1" t="s">
        <v>357</v>
      </c>
      <c r="F26" s="1" t="s">
        <v>269</v>
      </c>
      <c r="G26" s="14" t="s">
        <v>5</v>
      </c>
      <c r="H26" s="14">
        <v>1</v>
      </c>
      <c r="I26" s="436"/>
      <c r="J26" s="14"/>
      <c r="K26" s="14">
        <v>0</v>
      </c>
      <c r="L26" s="14"/>
      <c r="M26" s="14"/>
      <c r="N26" s="106">
        <f t="shared" si="0"/>
        <v>1</v>
      </c>
      <c r="O26" s="14">
        <v>0</v>
      </c>
      <c r="P26" s="14"/>
      <c r="Q26" s="14"/>
      <c r="R26" s="14"/>
      <c r="S26" s="14"/>
      <c r="T26" s="1"/>
    </row>
    <row r="27" spans="2:20">
      <c r="B27" s="135">
        <v>23</v>
      </c>
      <c r="C27" s="363"/>
      <c r="D27" s="14" t="s">
        <v>319</v>
      </c>
      <c r="E27" s="1" t="s">
        <v>358</v>
      </c>
      <c r="F27" s="1" t="s">
        <v>286</v>
      </c>
      <c r="G27" s="14" t="s">
        <v>5</v>
      </c>
      <c r="H27" s="14">
        <v>1</v>
      </c>
      <c r="I27" s="436"/>
      <c r="J27" s="14"/>
      <c r="K27" s="14">
        <v>0</v>
      </c>
      <c r="L27" s="14"/>
      <c r="M27" s="14"/>
      <c r="N27" s="106">
        <f t="shared" si="0"/>
        <v>1</v>
      </c>
      <c r="O27" s="14">
        <v>0</v>
      </c>
      <c r="P27" s="14"/>
      <c r="Q27" s="14"/>
      <c r="R27" s="14"/>
      <c r="S27" s="14"/>
      <c r="T27" s="1"/>
    </row>
    <row r="28" spans="2:20">
      <c r="B28" s="135">
        <v>24</v>
      </c>
      <c r="C28" s="363"/>
      <c r="D28" s="14" t="s">
        <v>320</v>
      </c>
      <c r="E28" s="1" t="s">
        <v>359</v>
      </c>
      <c r="F28" s="1" t="s">
        <v>287</v>
      </c>
      <c r="G28" s="14" t="s">
        <v>3</v>
      </c>
      <c r="H28" s="14">
        <v>2</v>
      </c>
      <c r="I28" s="436"/>
      <c r="J28" s="14"/>
      <c r="K28" s="14">
        <v>0</v>
      </c>
      <c r="L28" s="14"/>
      <c r="M28" s="14"/>
      <c r="N28" s="106">
        <f t="shared" si="0"/>
        <v>2</v>
      </c>
      <c r="O28" s="14">
        <v>0</v>
      </c>
      <c r="P28" s="14"/>
      <c r="Q28" s="14"/>
      <c r="R28" s="14"/>
      <c r="S28" s="14"/>
      <c r="T28" s="1"/>
    </row>
    <row r="29" spans="2:20">
      <c r="B29" s="135">
        <v>25</v>
      </c>
      <c r="C29" s="363"/>
      <c r="D29" s="14" t="s">
        <v>321</v>
      </c>
      <c r="E29" s="1" t="s">
        <v>360</v>
      </c>
      <c r="F29" s="1" t="s">
        <v>288</v>
      </c>
      <c r="G29" s="14" t="s">
        <v>3</v>
      </c>
      <c r="H29" s="14">
        <v>2</v>
      </c>
      <c r="I29" s="436"/>
      <c r="J29" s="14"/>
      <c r="K29" s="14">
        <v>0</v>
      </c>
      <c r="L29" s="14"/>
      <c r="M29" s="14"/>
      <c r="N29" s="106">
        <f t="shared" si="0"/>
        <v>2</v>
      </c>
      <c r="O29" s="14">
        <v>0</v>
      </c>
      <c r="P29" s="14"/>
      <c r="Q29" s="14"/>
      <c r="R29" s="14"/>
      <c r="S29" s="14"/>
      <c r="T29" s="1"/>
    </row>
    <row r="30" spans="2:20">
      <c r="B30" s="135">
        <v>26</v>
      </c>
      <c r="C30" s="363"/>
      <c r="D30" s="14" t="s">
        <v>322</v>
      </c>
      <c r="E30" s="1" t="s">
        <v>362</v>
      </c>
      <c r="F30" s="1" t="s">
        <v>289</v>
      </c>
      <c r="G30" s="14" t="s">
        <v>3</v>
      </c>
      <c r="H30" s="14">
        <v>7</v>
      </c>
      <c r="I30" s="436"/>
      <c r="J30" s="14"/>
      <c r="K30" s="14">
        <v>0</v>
      </c>
      <c r="L30" s="14"/>
      <c r="M30" s="14"/>
      <c r="N30" s="106">
        <f t="shared" si="0"/>
        <v>7</v>
      </c>
      <c r="O30" s="14">
        <v>0</v>
      </c>
      <c r="P30" s="14"/>
      <c r="Q30" s="14"/>
      <c r="R30" s="14"/>
      <c r="S30" s="14"/>
      <c r="T30" s="1"/>
    </row>
    <row r="31" spans="2:20">
      <c r="B31" s="135">
        <v>27</v>
      </c>
      <c r="C31" s="363"/>
      <c r="D31" s="14" t="s">
        <v>323</v>
      </c>
      <c r="E31" s="1" t="s">
        <v>361</v>
      </c>
      <c r="F31" s="1" t="s">
        <v>289</v>
      </c>
      <c r="G31" s="14" t="s">
        <v>3</v>
      </c>
      <c r="H31" s="14">
        <v>3</v>
      </c>
      <c r="I31" s="436"/>
      <c r="J31" s="14"/>
      <c r="K31" s="14">
        <v>0</v>
      </c>
      <c r="L31" s="14"/>
      <c r="M31" s="14"/>
      <c r="N31" s="106">
        <f t="shared" si="0"/>
        <v>3</v>
      </c>
      <c r="O31" s="14">
        <v>0</v>
      </c>
      <c r="P31" s="14"/>
      <c r="Q31" s="14"/>
      <c r="R31" s="14"/>
      <c r="S31" s="14"/>
      <c r="T31" s="1"/>
    </row>
    <row r="32" spans="2:20">
      <c r="B32" s="135">
        <v>28</v>
      </c>
      <c r="C32" s="363"/>
      <c r="D32" s="14" t="s">
        <v>324</v>
      </c>
      <c r="E32" s="1" t="s">
        <v>363</v>
      </c>
      <c r="F32" s="1" t="s">
        <v>376</v>
      </c>
      <c r="G32" s="14" t="s">
        <v>3</v>
      </c>
      <c r="H32" s="14">
        <v>2</v>
      </c>
      <c r="I32" s="436"/>
      <c r="J32" s="14"/>
      <c r="K32" s="14">
        <v>0</v>
      </c>
      <c r="L32" s="14"/>
      <c r="M32" s="14"/>
      <c r="N32" s="106">
        <f t="shared" si="0"/>
        <v>2</v>
      </c>
      <c r="O32" s="14">
        <v>0</v>
      </c>
      <c r="P32" s="14"/>
      <c r="Q32" s="14"/>
      <c r="R32" s="14"/>
      <c r="S32" s="14"/>
      <c r="T32" s="1"/>
    </row>
    <row r="33" spans="2:21">
      <c r="B33" s="135">
        <v>29</v>
      </c>
      <c r="C33" s="363"/>
      <c r="D33" s="14" t="s">
        <v>325</v>
      </c>
      <c r="E33" s="1" t="s">
        <v>364</v>
      </c>
      <c r="F33" s="1" t="s">
        <v>290</v>
      </c>
      <c r="G33" s="14" t="s">
        <v>3</v>
      </c>
      <c r="H33" s="14">
        <v>6</v>
      </c>
      <c r="I33" s="436"/>
      <c r="J33" s="14"/>
      <c r="K33" s="14">
        <v>0</v>
      </c>
      <c r="L33" s="14"/>
      <c r="M33" s="14"/>
      <c r="N33" s="106">
        <f t="shared" si="0"/>
        <v>6</v>
      </c>
      <c r="O33" s="14">
        <v>0</v>
      </c>
      <c r="P33" s="14"/>
      <c r="Q33" s="14"/>
      <c r="R33" s="14"/>
      <c r="S33" s="14"/>
      <c r="T33" s="1"/>
    </row>
    <row r="34" spans="2:21">
      <c r="B34" s="135">
        <v>30</v>
      </c>
      <c r="C34" s="363"/>
      <c r="D34" s="14" t="s">
        <v>326</v>
      </c>
      <c r="E34" s="1" t="s">
        <v>365</v>
      </c>
      <c r="F34" s="1" t="s">
        <v>290</v>
      </c>
      <c r="G34" s="14" t="s">
        <v>3</v>
      </c>
      <c r="H34" s="14">
        <v>4</v>
      </c>
      <c r="I34" s="436"/>
      <c r="J34" s="14"/>
      <c r="K34" s="14">
        <v>0</v>
      </c>
      <c r="L34" s="14"/>
      <c r="M34" s="14"/>
      <c r="N34" s="106">
        <f t="shared" si="0"/>
        <v>4</v>
      </c>
      <c r="O34" s="14">
        <v>0</v>
      </c>
      <c r="P34" s="14"/>
      <c r="Q34" s="14"/>
      <c r="R34" s="14"/>
      <c r="S34" s="14"/>
      <c r="T34" s="1"/>
    </row>
    <row r="35" spans="2:21">
      <c r="B35" s="135">
        <v>31</v>
      </c>
      <c r="C35" s="363"/>
      <c r="D35" s="14" t="s">
        <v>327</v>
      </c>
      <c r="E35" s="1" t="s">
        <v>366</v>
      </c>
      <c r="F35" s="1" t="s">
        <v>269</v>
      </c>
      <c r="G35" s="14" t="s">
        <v>5</v>
      </c>
      <c r="H35" s="14">
        <v>1</v>
      </c>
      <c r="I35" s="436"/>
      <c r="J35" s="14"/>
      <c r="K35" s="14">
        <v>0</v>
      </c>
      <c r="L35" s="14"/>
      <c r="M35" s="14"/>
      <c r="N35" s="106">
        <f t="shared" si="0"/>
        <v>1</v>
      </c>
      <c r="O35" s="14">
        <v>0</v>
      </c>
      <c r="P35" s="14"/>
      <c r="Q35" s="14"/>
      <c r="R35" s="14"/>
      <c r="S35" s="14"/>
      <c r="T35" s="1"/>
    </row>
    <row r="36" spans="2:21">
      <c r="B36" s="135">
        <v>32</v>
      </c>
      <c r="C36" s="363"/>
      <c r="D36" s="14" t="s">
        <v>328</v>
      </c>
      <c r="E36" s="1" t="s">
        <v>51</v>
      </c>
      <c r="F36" s="1" t="s">
        <v>278</v>
      </c>
      <c r="G36" s="14" t="s">
        <v>3</v>
      </c>
      <c r="H36" s="14">
        <v>50</v>
      </c>
      <c r="I36" s="436"/>
      <c r="J36" s="14"/>
      <c r="K36" s="14">
        <v>0</v>
      </c>
      <c r="L36" s="14"/>
      <c r="M36" s="14"/>
      <c r="N36" s="106">
        <f t="shared" si="0"/>
        <v>50</v>
      </c>
      <c r="O36" s="14">
        <v>0</v>
      </c>
      <c r="P36" s="14"/>
      <c r="Q36" s="14"/>
      <c r="R36" s="14"/>
      <c r="S36" s="14"/>
      <c r="T36" s="1"/>
    </row>
    <row r="37" spans="2:21">
      <c r="B37" s="135">
        <v>33</v>
      </c>
      <c r="C37" s="363"/>
      <c r="D37" s="14" t="s">
        <v>329</v>
      </c>
      <c r="E37" s="1" t="s">
        <v>367</v>
      </c>
      <c r="F37" s="1" t="s">
        <v>278</v>
      </c>
      <c r="G37" s="14" t="s">
        <v>3</v>
      </c>
      <c r="H37" s="14">
        <v>40</v>
      </c>
      <c r="I37" s="436"/>
      <c r="J37" s="14"/>
      <c r="K37" s="14">
        <v>0</v>
      </c>
      <c r="L37" s="14"/>
      <c r="M37" s="14"/>
      <c r="N37" s="106">
        <f t="shared" si="0"/>
        <v>40</v>
      </c>
      <c r="O37" s="14">
        <v>0</v>
      </c>
      <c r="P37" s="14"/>
      <c r="Q37" s="14"/>
      <c r="R37" s="14"/>
      <c r="S37" s="14"/>
      <c r="T37" s="1"/>
    </row>
    <row r="38" spans="2:21">
      <c r="B38" s="135">
        <v>34</v>
      </c>
      <c r="C38" s="363"/>
      <c r="D38" s="14" t="s">
        <v>330</v>
      </c>
      <c r="E38" s="1" t="s">
        <v>368</v>
      </c>
      <c r="F38" s="1" t="s">
        <v>291</v>
      </c>
      <c r="G38" s="14" t="s">
        <v>3</v>
      </c>
      <c r="H38" s="14">
        <v>15</v>
      </c>
      <c r="I38" s="436"/>
      <c r="J38" s="14"/>
      <c r="K38" s="14">
        <v>0</v>
      </c>
      <c r="L38" s="14"/>
      <c r="M38" s="14"/>
      <c r="N38" s="106">
        <f t="shared" si="0"/>
        <v>15</v>
      </c>
      <c r="O38" s="14">
        <v>0</v>
      </c>
      <c r="P38" s="14"/>
      <c r="Q38" s="14"/>
      <c r="R38" s="14"/>
      <c r="S38" s="14"/>
      <c r="T38" s="1"/>
    </row>
    <row r="39" spans="2:21">
      <c r="B39" s="135">
        <v>35</v>
      </c>
      <c r="C39" s="363"/>
      <c r="D39" s="14" t="s">
        <v>331</v>
      </c>
      <c r="E39" s="1" t="s">
        <v>369</v>
      </c>
      <c r="F39" s="1" t="s">
        <v>292</v>
      </c>
      <c r="G39" s="14" t="s">
        <v>5</v>
      </c>
      <c r="H39" s="14">
        <v>1</v>
      </c>
      <c r="I39" s="436"/>
      <c r="J39" s="14"/>
      <c r="K39" s="14">
        <v>0</v>
      </c>
      <c r="L39" s="14"/>
      <c r="M39" s="14"/>
      <c r="N39" s="106">
        <f t="shared" si="0"/>
        <v>1</v>
      </c>
      <c r="O39" s="14">
        <v>0</v>
      </c>
      <c r="P39" s="14"/>
      <c r="Q39" s="14"/>
      <c r="R39" s="14"/>
      <c r="S39" s="14"/>
      <c r="T39" s="1"/>
    </row>
    <row r="40" spans="2:21">
      <c r="B40" s="135">
        <v>36</v>
      </c>
      <c r="C40" s="363"/>
      <c r="D40" s="14" t="s">
        <v>332</v>
      </c>
      <c r="E40" s="1" t="s">
        <v>370</v>
      </c>
      <c r="F40" s="1" t="s">
        <v>293</v>
      </c>
      <c r="G40" s="14" t="s">
        <v>3</v>
      </c>
      <c r="H40" s="14">
        <v>3</v>
      </c>
      <c r="I40" s="436"/>
      <c r="J40" s="14"/>
      <c r="K40" s="14">
        <v>0</v>
      </c>
      <c r="L40" s="14"/>
      <c r="M40" s="14"/>
      <c r="N40" s="106">
        <f t="shared" si="0"/>
        <v>3</v>
      </c>
      <c r="O40" s="14">
        <v>0</v>
      </c>
      <c r="P40" s="14"/>
      <c r="Q40" s="14"/>
      <c r="R40" s="14"/>
      <c r="S40" s="14"/>
      <c r="T40" s="1"/>
    </row>
    <row r="41" spans="2:21">
      <c r="B41" s="135">
        <v>37</v>
      </c>
      <c r="C41" s="363"/>
      <c r="D41" s="14" t="s">
        <v>333</v>
      </c>
      <c r="E41" s="1" t="s">
        <v>371</v>
      </c>
      <c r="F41" s="1" t="s">
        <v>294</v>
      </c>
      <c r="G41" s="14" t="s">
        <v>5</v>
      </c>
      <c r="H41" s="14">
        <v>1</v>
      </c>
      <c r="I41" s="436"/>
      <c r="J41" s="14"/>
      <c r="K41" s="14">
        <v>0</v>
      </c>
      <c r="L41" s="14"/>
      <c r="M41" s="14"/>
      <c r="N41" s="106">
        <f t="shared" si="0"/>
        <v>1</v>
      </c>
      <c r="O41" s="14">
        <v>0</v>
      </c>
      <c r="P41" s="14"/>
      <c r="Q41" s="14"/>
      <c r="R41" s="14"/>
      <c r="S41" s="14"/>
      <c r="T41" s="1"/>
    </row>
    <row r="42" spans="2:21">
      <c r="B42" s="135">
        <v>38</v>
      </c>
      <c r="C42" s="363"/>
      <c r="D42" s="14" t="s">
        <v>334</v>
      </c>
      <c r="E42" s="1" t="s">
        <v>372</v>
      </c>
      <c r="F42" s="1" t="s">
        <v>277</v>
      </c>
      <c r="G42" s="14" t="s">
        <v>3</v>
      </c>
      <c r="H42" s="14">
        <v>5</v>
      </c>
      <c r="I42" s="436"/>
      <c r="J42" s="14"/>
      <c r="K42" s="14">
        <v>0</v>
      </c>
      <c r="L42" s="14"/>
      <c r="M42" s="14"/>
      <c r="N42" s="106">
        <f t="shared" si="0"/>
        <v>5</v>
      </c>
      <c r="O42" s="14">
        <v>0</v>
      </c>
      <c r="P42" s="14"/>
      <c r="Q42" s="14"/>
      <c r="R42" s="14"/>
      <c r="S42" s="14"/>
      <c r="T42" s="1"/>
    </row>
    <row r="43" spans="2:21">
      <c r="B43" s="135">
        <v>39</v>
      </c>
      <c r="C43" s="363"/>
      <c r="D43" s="14" t="s">
        <v>335</v>
      </c>
      <c r="E43" s="1" t="s">
        <v>373</v>
      </c>
      <c r="F43" s="1" t="s">
        <v>279</v>
      </c>
      <c r="G43" s="14" t="s">
        <v>3</v>
      </c>
      <c r="H43" s="14">
        <v>2</v>
      </c>
      <c r="I43" s="436"/>
      <c r="J43" s="14"/>
      <c r="K43" s="14">
        <v>0</v>
      </c>
      <c r="L43" s="14"/>
      <c r="M43" s="14"/>
      <c r="N43" s="106">
        <f t="shared" si="0"/>
        <v>2</v>
      </c>
      <c r="O43" s="14">
        <v>0</v>
      </c>
      <c r="P43" s="14"/>
      <c r="Q43" s="14"/>
      <c r="R43" s="14"/>
      <c r="S43" s="14"/>
      <c r="T43" s="1"/>
    </row>
    <row r="44" spans="2:21">
      <c r="B44" s="135">
        <v>40</v>
      </c>
      <c r="C44" s="364"/>
      <c r="D44" s="14" t="s">
        <v>336</v>
      </c>
      <c r="E44" s="1" t="s">
        <v>374</v>
      </c>
      <c r="F44" s="1" t="s">
        <v>295</v>
      </c>
      <c r="G44" s="14" t="s">
        <v>5</v>
      </c>
      <c r="H44" s="14">
        <v>1</v>
      </c>
      <c r="I44" s="437"/>
      <c r="J44" s="14"/>
      <c r="K44" s="14">
        <v>0</v>
      </c>
      <c r="L44" s="14"/>
      <c r="M44" s="14"/>
      <c r="N44" s="106">
        <f t="shared" si="0"/>
        <v>1</v>
      </c>
      <c r="O44" s="14">
        <v>0</v>
      </c>
      <c r="P44" s="14"/>
      <c r="Q44" s="14"/>
      <c r="R44" s="14"/>
      <c r="S44" s="14"/>
      <c r="T44" s="1"/>
    </row>
    <row r="45" spans="2:21" ht="18.75">
      <c r="B45" s="445">
        <v>41</v>
      </c>
      <c r="C45" s="145"/>
      <c r="D45" s="445"/>
      <c r="E45" s="145"/>
      <c r="F45" s="446" t="s">
        <v>933</v>
      </c>
      <c r="G45" s="446" t="s">
        <v>3</v>
      </c>
      <c r="H45" s="446"/>
      <c r="U45" s="461" t="s">
        <v>937</v>
      </c>
    </row>
  </sheetData>
  <mergeCells count="20">
    <mergeCell ref="D5:D6"/>
    <mergeCell ref="K2:K3"/>
    <mergeCell ref="L2:L3"/>
    <mergeCell ref="U2:U3"/>
    <mergeCell ref="S2:S3"/>
    <mergeCell ref="A2:A3"/>
    <mergeCell ref="A1:T1"/>
    <mergeCell ref="T2:T3"/>
    <mergeCell ref="B2:B3"/>
    <mergeCell ref="I2:I44"/>
    <mergeCell ref="D2:D3"/>
    <mergeCell ref="F2:F3"/>
    <mergeCell ref="G2:G3"/>
    <mergeCell ref="M2:M3"/>
    <mergeCell ref="N2:N3"/>
    <mergeCell ref="O2:O3"/>
    <mergeCell ref="P2:P3"/>
    <mergeCell ref="Q2:Q3"/>
    <mergeCell ref="C4:C44"/>
    <mergeCell ref="B5:B6"/>
  </mergeCells>
  <phoneticPr fontId="23" type="noConversion"/>
  <pageMargins left="0.7" right="0.7" top="0.75" bottom="0.75" header="0.3" footer="0.3"/>
  <pageSetup scale="56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G12"/>
  <sheetViews>
    <sheetView zoomScale="96" zoomScaleNormal="96" workbookViewId="0">
      <pane ySplit="4" topLeftCell="A5" activePane="bottomLeft" state="frozen"/>
      <selection pane="bottomLeft" activeCell="B12" sqref="B12"/>
    </sheetView>
  </sheetViews>
  <sheetFormatPr defaultRowHeight="15"/>
  <cols>
    <col min="1" max="1" width="7.42578125" style="2" customWidth="1"/>
    <col min="2" max="2" width="19.7109375" customWidth="1"/>
    <col min="3" max="3" width="44.140625" customWidth="1"/>
    <col min="4" max="4" width="6.140625" customWidth="1"/>
    <col min="5" max="5" width="18.85546875" customWidth="1"/>
    <col min="6" max="6" width="11.140625" customWidth="1"/>
    <col min="7" max="7" width="10.42578125" customWidth="1"/>
  </cols>
  <sheetData>
    <row r="2" spans="1:7" ht="25.5">
      <c r="A2" s="358" t="s">
        <v>911</v>
      </c>
      <c r="B2" s="359"/>
      <c r="C2" s="359"/>
      <c r="D2" s="359"/>
      <c r="E2" s="359"/>
      <c r="F2" s="359"/>
      <c r="G2" s="360"/>
    </row>
    <row r="3" spans="1:7" ht="32.25" customHeight="1">
      <c r="A3" s="338" t="s">
        <v>0</v>
      </c>
      <c r="B3" s="340" t="s">
        <v>21</v>
      </c>
      <c r="C3" s="342" t="s">
        <v>1</v>
      </c>
      <c r="D3" s="344" t="s">
        <v>2</v>
      </c>
      <c r="E3" s="338" t="s">
        <v>912</v>
      </c>
      <c r="F3" s="334" t="s">
        <v>171</v>
      </c>
      <c r="G3" s="335"/>
    </row>
    <row r="4" spans="1:7" ht="36" customHeight="1">
      <c r="A4" s="339"/>
      <c r="B4" s="341"/>
      <c r="C4" s="343"/>
      <c r="D4" s="345"/>
      <c r="E4" s="339"/>
      <c r="F4" s="336"/>
      <c r="G4" s="337"/>
    </row>
    <row r="5" spans="1:7" s="35" customFormat="1" ht="15" customHeight="1">
      <c r="A5" s="42">
        <v>1</v>
      </c>
      <c r="B5" s="442" t="s">
        <v>877</v>
      </c>
      <c r="C5" s="246" t="s">
        <v>913</v>
      </c>
      <c r="D5" s="39" t="s">
        <v>5</v>
      </c>
      <c r="E5" s="141">
        <v>2</v>
      </c>
      <c r="F5" s="352"/>
      <c r="G5" s="353"/>
    </row>
    <row r="6" spans="1:7" s="35" customFormat="1" ht="15" customHeight="1">
      <c r="A6" s="42">
        <v>2</v>
      </c>
      <c r="B6" s="443"/>
      <c r="C6" s="246" t="s">
        <v>914</v>
      </c>
      <c r="D6" s="39" t="s">
        <v>5</v>
      </c>
      <c r="E6" s="141">
        <v>1</v>
      </c>
      <c r="F6" s="352"/>
      <c r="G6" s="353"/>
    </row>
    <row r="7" spans="1:7" s="35" customFormat="1" ht="15" customHeight="1">
      <c r="A7" s="42">
        <v>3</v>
      </c>
      <c r="B7" s="443"/>
      <c r="C7" s="246" t="s">
        <v>915</v>
      </c>
      <c r="D7" s="39" t="s">
        <v>5</v>
      </c>
      <c r="E7" s="141">
        <v>2</v>
      </c>
      <c r="F7" s="352"/>
      <c r="G7" s="353"/>
    </row>
    <row r="8" spans="1:7" s="35" customFormat="1" ht="15" customHeight="1">
      <c r="A8" s="42">
        <v>4</v>
      </c>
      <c r="B8" s="443"/>
      <c r="C8" s="246" t="s">
        <v>916</v>
      </c>
      <c r="D8" s="39" t="s">
        <v>5</v>
      </c>
      <c r="E8" s="141">
        <v>1</v>
      </c>
      <c r="F8" s="352"/>
      <c r="G8" s="353"/>
    </row>
    <row r="9" spans="1:7" s="35" customFormat="1" ht="15" customHeight="1">
      <c r="A9" s="42">
        <v>5</v>
      </c>
      <c r="B9" s="443"/>
      <c r="C9" s="309" t="s">
        <v>917</v>
      </c>
      <c r="D9" s="39" t="s">
        <v>5</v>
      </c>
      <c r="E9" s="141">
        <v>2</v>
      </c>
      <c r="F9" s="352"/>
      <c r="G9" s="353"/>
    </row>
    <row r="10" spans="1:7" s="35" customFormat="1" ht="15" customHeight="1">
      <c r="A10" s="42">
        <v>6</v>
      </c>
      <c r="B10" s="443"/>
      <c r="C10" s="309" t="s">
        <v>918</v>
      </c>
      <c r="D10" s="39" t="s">
        <v>5</v>
      </c>
      <c r="E10" s="141">
        <v>1</v>
      </c>
      <c r="F10" s="352"/>
      <c r="G10" s="353"/>
    </row>
    <row r="11" spans="1:7" s="35" customFormat="1" ht="15" customHeight="1">
      <c r="A11" s="42">
        <v>7</v>
      </c>
      <c r="B11" s="444"/>
      <c r="C11" s="309" t="s">
        <v>919</v>
      </c>
      <c r="D11" s="39" t="s">
        <v>5</v>
      </c>
      <c r="E11" s="141">
        <v>2</v>
      </c>
      <c r="F11" s="352"/>
      <c r="G11" s="353"/>
    </row>
    <row r="12" spans="1:7">
      <c r="A12" s="2">
        <v>7</v>
      </c>
      <c r="B12" s="265"/>
      <c r="C12" s="265"/>
      <c r="D12" s="265"/>
      <c r="E12" s="265"/>
      <c r="F12" s="352"/>
      <c r="G12" s="353"/>
    </row>
  </sheetData>
  <mergeCells count="16">
    <mergeCell ref="B5:B11"/>
    <mergeCell ref="A2:G2"/>
    <mergeCell ref="A3:A4"/>
    <mergeCell ref="B3:B4"/>
    <mergeCell ref="C3:C4"/>
    <mergeCell ref="D3:D4"/>
    <mergeCell ref="E3:E4"/>
    <mergeCell ref="F3:G4"/>
    <mergeCell ref="F11:G11"/>
    <mergeCell ref="F12:G12"/>
    <mergeCell ref="F5:G5"/>
    <mergeCell ref="F6:G6"/>
    <mergeCell ref="F7:G7"/>
    <mergeCell ref="F8:G8"/>
    <mergeCell ref="F9:G9"/>
    <mergeCell ref="F10:G10"/>
  </mergeCells>
  <pageMargins left="0.7" right="0.7" top="0.75" bottom="0.75" header="0.3" footer="0.3"/>
  <pageSetup paperSize="9" orientation="portrait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G13"/>
  <sheetViews>
    <sheetView zoomScale="96" zoomScaleNormal="96" workbookViewId="0">
      <pane ySplit="4" topLeftCell="A5" activePane="bottomLeft" state="frozen"/>
      <selection pane="bottomLeft" activeCell="E16" sqref="E16"/>
    </sheetView>
  </sheetViews>
  <sheetFormatPr defaultRowHeight="15"/>
  <cols>
    <col min="1" max="1" width="7.42578125" style="2" customWidth="1"/>
    <col min="2" max="2" width="19.7109375" customWidth="1"/>
    <col min="3" max="3" width="44.140625" customWidth="1"/>
    <col min="4" max="4" width="6.140625" customWidth="1"/>
    <col min="5" max="5" width="18.85546875" customWidth="1"/>
    <col min="6" max="6" width="11.140625" customWidth="1"/>
    <col min="7" max="7" width="10.42578125" customWidth="1"/>
  </cols>
  <sheetData>
    <row r="2" spans="1:7" ht="25.5">
      <c r="A2" s="358" t="s">
        <v>911</v>
      </c>
      <c r="B2" s="359"/>
      <c r="C2" s="359"/>
      <c r="D2" s="359"/>
      <c r="E2" s="359"/>
      <c r="F2" s="359"/>
      <c r="G2" s="360"/>
    </row>
    <row r="3" spans="1:7" ht="32.25" customHeight="1">
      <c r="A3" s="338" t="s">
        <v>0</v>
      </c>
      <c r="B3" s="340" t="s">
        <v>21</v>
      </c>
      <c r="C3" s="342" t="s">
        <v>1</v>
      </c>
      <c r="D3" s="344" t="s">
        <v>2</v>
      </c>
      <c r="E3" s="338" t="s">
        <v>912</v>
      </c>
      <c r="F3" s="334" t="s">
        <v>171</v>
      </c>
      <c r="G3" s="335"/>
    </row>
    <row r="4" spans="1:7" ht="36" customHeight="1">
      <c r="A4" s="339"/>
      <c r="B4" s="341"/>
      <c r="C4" s="343"/>
      <c r="D4" s="345"/>
      <c r="E4" s="339"/>
      <c r="F4" s="336"/>
      <c r="G4" s="337"/>
    </row>
    <row r="5" spans="1:7" s="35" customFormat="1" ht="15" customHeight="1">
      <c r="A5" s="42">
        <v>1</v>
      </c>
      <c r="B5" s="442" t="s">
        <v>877</v>
      </c>
      <c r="C5" s="246" t="s">
        <v>920</v>
      </c>
      <c r="D5" s="39" t="s">
        <v>5</v>
      </c>
      <c r="E5" s="141">
        <v>6</v>
      </c>
      <c r="F5" s="352"/>
      <c r="G5" s="353"/>
    </row>
    <row r="6" spans="1:7" s="35" customFormat="1" ht="15" customHeight="1">
      <c r="A6" s="42">
        <v>2</v>
      </c>
      <c r="B6" s="443"/>
      <c r="C6" s="246" t="s">
        <v>921</v>
      </c>
      <c r="D6" s="39" t="s">
        <v>5</v>
      </c>
      <c r="E6" s="141">
        <v>6</v>
      </c>
      <c r="F6" s="352"/>
      <c r="G6" s="353"/>
    </row>
    <row r="7" spans="1:7" s="35" customFormat="1" ht="15" customHeight="1">
      <c r="A7" s="42">
        <v>3</v>
      </c>
      <c r="B7" s="443"/>
      <c r="C7" s="246" t="s">
        <v>922</v>
      </c>
      <c r="D7" s="39" t="s">
        <v>5</v>
      </c>
      <c r="E7" s="141">
        <v>1</v>
      </c>
      <c r="F7" s="352"/>
      <c r="G7" s="353"/>
    </row>
    <row r="8" spans="1:7" s="35" customFormat="1" ht="15" customHeight="1">
      <c r="A8" s="42">
        <v>4</v>
      </c>
      <c r="B8" s="443"/>
      <c r="C8" s="246" t="s">
        <v>923</v>
      </c>
      <c r="D8" s="39" t="s">
        <v>5</v>
      </c>
      <c r="E8" s="141">
        <v>2</v>
      </c>
      <c r="F8" s="352"/>
      <c r="G8" s="353"/>
    </row>
    <row r="9" spans="1:7" s="35" customFormat="1" ht="15" customHeight="1">
      <c r="A9" s="42">
        <v>5</v>
      </c>
      <c r="B9" s="443"/>
      <c r="C9" s="309" t="s">
        <v>878</v>
      </c>
      <c r="D9" s="39" t="s">
        <v>5</v>
      </c>
      <c r="E9" s="141">
        <v>4</v>
      </c>
      <c r="F9" s="352"/>
      <c r="G9" s="353"/>
    </row>
    <row r="10" spans="1:7" s="35" customFormat="1" ht="15" customHeight="1">
      <c r="A10" s="42">
        <v>6</v>
      </c>
      <c r="B10" s="443"/>
      <c r="C10" s="309" t="s">
        <v>924</v>
      </c>
      <c r="D10" s="39" t="s">
        <v>5</v>
      </c>
      <c r="E10" s="141">
        <v>2</v>
      </c>
      <c r="F10" s="352"/>
      <c r="G10" s="353"/>
    </row>
    <row r="11" spans="1:7" s="35" customFormat="1" ht="15" customHeight="1">
      <c r="A11" s="42">
        <v>7</v>
      </c>
      <c r="B11" s="443"/>
      <c r="C11" s="309" t="s">
        <v>932</v>
      </c>
      <c r="D11" s="39" t="s">
        <v>5</v>
      </c>
      <c r="E11" s="141">
        <v>3</v>
      </c>
      <c r="F11" s="310"/>
      <c r="G11" s="311"/>
    </row>
    <row r="12" spans="1:7" s="35" customFormat="1" ht="15" customHeight="1">
      <c r="A12" s="42">
        <v>8</v>
      </c>
      <c r="B12" s="444"/>
      <c r="C12" s="309" t="s">
        <v>925</v>
      </c>
      <c r="D12" s="39" t="s">
        <v>5</v>
      </c>
      <c r="E12" s="141" t="s">
        <v>885</v>
      </c>
      <c r="F12" s="352"/>
      <c r="G12" s="353"/>
    </row>
    <row r="13" spans="1:7">
      <c r="B13" s="265"/>
      <c r="C13" s="265"/>
      <c r="D13" s="265"/>
      <c r="E13" s="265"/>
      <c r="F13" s="352"/>
      <c r="G13" s="353"/>
    </row>
  </sheetData>
  <mergeCells count="16">
    <mergeCell ref="F13:G13"/>
    <mergeCell ref="B5:B12"/>
    <mergeCell ref="F5:G5"/>
    <mergeCell ref="F6:G6"/>
    <mergeCell ref="F7:G7"/>
    <mergeCell ref="F8:G8"/>
    <mergeCell ref="F9:G9"/>
    <mergeCell ref="F10:G10"/>
    <mergeCell ref="F12:G12"/>
    <mergeCell ref="A2:G2"/>
    <mergeCell ref="A3:A4"/>
    <mergeCell ref="B3:B4"/>
    <mergeCell ref="C3:C4"/>
    <mergeCell ref="D3:D4"/>
    <mergeCell ref="E3:E4"/>
    <mergeCell ref="F3:G4"/>
  </mergeCells>
  <pageMargins left="0.7" right="0.7" top="0.75" bottom="0.75" header="0.3" footer="0.3"/>
  <pageSetup paperSize="9" orientation="portrait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G11"/>
  <sheetViews>
    <sheetView zoomScale="96" zoomScaleNormal="96" workbookViewId="0">
      <pane ySplit="4" topLeftCell="A5" activePane="bottomLeft" state="frozen"/>
      <selection pane="bottomLeft" activeCell="G16" sqref="G16"/>
    </sheetView>
  </sheetViews>
  <sheetFormatPr defaultRowHeight="15"/>
  <cols>
    <col min="1" max="1" width="7.42578125" style="2" customWidth="1"/>
    <col min="2" max="2" width="19.7109375" customWidth="1"/>
    <col min="3" max="3" width="44.140625" customWidth="1"/>
    <col min="4" max="4" width="6.140625" customWidth="1"/>
    <col min="5" max="5" width="18.85546875" customWidth="1"/>
    <col min="6" max="6" width="11.140625" customWidth="1"/>
    <col min="7" max="7" width="10.42578125" customWidth="1"/>
  </cols>
  <sheetData>
    <row r="2" spans="1:7" ht="25.5">
      <c r="A2" s="358" t="s">
        <v>911</v>
      </c>
      <c r="B2" s="359"/>
      <c r="C2" s="359"/>
      <c r="D2" s="359"/>
      <c r="E2" s="359"/>
      <c r="F2" s="359"/>
      <c r="G2" s="360"/>
    </row>
    <row r="3" spans="1:7" ht="32.25" customHeight="1">
      <c r="A3" s="338" t="s">
        <v>0</v>
      </c>
      <c r="B3" s="340" t="s">
        <v>21</v>
      </c>
      <c r="C3" s="342" t="s">
        <v>1</v>
      </c>
      <c r="D3" s="344" t="s">
        <v>2</v>
      </c>
      <c r="E3" s="338" t="s">
        <v>912</v>
      </c>
      <c r="F3" s="334" t="s">
        <v>171</v>
      </c>
      <c r="G3" s="335"/>
    </row>
    <row r="4" spans="1:7" ht="36" customHeight="1">
      <c r="A4" s="339"/>
      <c r="B4" s="341"/>
      <c r="C4" s="343"/>
      <c r="D4" s="345"/>
      <c r="E4" s="339"/>
      <c r="F4" s="336"/>
      <c r="G4" s="337"/>
    </row>
    <row r="5" spans="1:7" s="35" customFormat="1" ht="15" customHeight="1">
      <c r="A5" s="42">
        <v>1</v>
      </c>
      <c r="B5" s="442" t="s">
        <v>877</v>
      </c>
      <c r="C5" s="246" t="s">
        <v>926</v>
      </c>
      <c r="D5" s="39" t="s">
        <v>5</v>
      </c>
      <c r="E5" s="141">
        <v>6</v>
      </c>
      <c r="F5" s="352"/>
      <c r="G5" s="353"/>
    </row>
    <row r="6" spans="1:7" s="35" customFormat="1" ht="15" customHeight="1">
      <c r="A6" s="42">
        <v>2</v>
      </c>
      <c r="B6" s="443"/>
      <c r="C6" s="246" t="s">
        <v>927</v>
      </c>
      <c r="D6" s="39" t="s">
        <v>5</v>
      </c>
      <c r="E6" s="141">
        <v>12</v>
      </c>
      <c r="F6" s="352"/>
      <c r="G6" s="353"/>
    </row>
    <row r="7" spans="1:7" s="35" customFormat="1" ht="15" customHeight="1">
      <c r="A7" s="42">
        <v>3</v>
      </c>
      <c r="B7" s="443"/>
      <c r="C7" s="246" t="s">
        <v>928</v>
      </c>
      <c r="D7" s="39" t="s">
        <v>5</v>
      </c>
      <c r="E7" s="141">
        <v>2</v>
      </c>
      <c r="F7" s="352"/>
      <c r="G7" s="353"/>
    </row>
    <row r="8" spans="1:7" s="35" customFormat="1" ht="15" customHeight="1">
      <c r="A8" s="42">
        <v>4</v>
      </c>
      <c r="B8" s="443"/>
      <c r="C8" s="246" t="s">
        <v>929</v>
      </c>
      <c r="D8" s="39" t="s">
        <v>5</v>
      </c>
      <c r="E8" s="141">
        <v>2</v>
      </c>
      <c r="F8" s="352"/>
      <c r="G8" s="353"/>
    </row>
    <row r="9" spans="1:7" s="35" customFormat="1" ht="15" customHeight="1">
      <c r="A9" s="42">
        <v>5</v>
      </c>
      <c r="B9" s="443"/>
      <c r="C9" s="309" t="s">
        <v>930</v>
      </c>
      <c r="D9" s="39" t="s">
        <v>5</v>
      </c>
      <c r="E9" s="141">
        <v>1</v>
      </c>
      <c r="F9" s="352"/>
      <c r="G9" s="353"/>
    </row>
    <row r="10" spans="1:7" s="35" customFormat="1" ht="15" customHeight="1">
      <c r="A10" s="42">
        <v>6</v>
      </c>
      <c r="B10" s="444"/>
      <c r="C10" s="309" t="s">
        <v>931</v>
      </c>
      <c r="D10" s="39" t="s">
        <v>5</v>
      </c>
      <c r="E10" s="141">
        <v>1</v>
      </c>
      <c r="F10" s="352"/>
      <c r="G10" s="353"/>
    </row>
    <row r="11" spans="1:7">
      <c r="B11" s="265"/>
      <c r="C11" s="265"/>
      <c r="D11" s="265"/>
      <c r="E11" s="265"/>
      <c r="F11" s="352"/>
      <c r="G11" s="353"/>
    </row>
  </sheetData>
  <mergeCells count="15">
    <mergeCell ref="F11:G11"/>
    <mergeCell ref="B5:B10"/>
    <mergeCell ref="F5:G5"/>
    <mergeCell ref="F6:G6"/>
    <mergeCell ref="F7:G7"/>
    <mergeCell ref="F8:G8"/>
    <mergeCell ref="F9:G9"/>
    <mergeCell ref="F10:G10"/>
    <mergeCell ref="A2:G2"/>
    <mergeCell ref="A3:A4"/>
    <mergeCell ref="B3:B4"/>
    <mergeCell ref="C3:C4"/>
    <mergeCell ref="D3:D4"/>
    <mergeCell ref="E3:E4"/>
    <mergeCell ref="F3:G4"/>
  </mergeCells>
  <pageMargins left="0.7" right="0.7" top="0.75" bottom="0.75" header="0.3" footer="0.3"/>
  <pageSetup paperSize="9"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551614-8912-4F45-86FC-AB30183E40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VCC</vt:lpstr>
      <vt:lpstr>BRAKE</vt:lpstr>
      <vt:lpstr>COUPLER</vt:lpstr>
      <vt:lpstr>PAPIS &amp; CCTV</vt:lpstr>
      <vt:lpstr>INTERIOR LIGHT</vt:lpstr>
      <vt:lpstr>EXTERIOR LIGHT</vt:lpstr>
      <vt:lpstr>PRESSTON</vt:lpstr>
      <vt:lpstr>DOOR</vt:lpstr>
      <vt:lpstr>TRCC</vt:lpstr>
      <vt:lpstr>VAC</vt:lpstr>
      <vt:lpstr>AAL</vt:lpstr>
      <vt:lpstr>PROPULSION</vt:lpstr>
      <vt:lpstr>FDS</vt:lpstr>
      <vt:lpstr>BOGIE</vt:lpstr>
      <vt:lpstr>Issued__Date</vt:lpstr>
      <vt:lpstr>VCC!Print_Area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BEML TNC PC4</dc:creator>
  <cp:lastModifiedBy>BEML TNC PC3</cp:lastModifiedBy>
  <cp:lastPrinted>2020-12-19T03:51:09Z</cp:lastPrinted>
  <dcterms:created xsi:type="dcterms:W3CDTF">2018-10-02T05:35:55Z</dcterms:created>
  <dcterms:modified xsi:type="dcterms:W3CDTF">2021-08-27T07:24:55Z</dcterms:modified>
</cp:coreProperties>
</file>
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BEML TNC PC3\Desktop\DLP List\"/>
    </mc:Choice>
  </mc:AlternateContent>
  <xr:revisionPtr revIDLastSave="0" documentId="13_ncr:1_{F35823BF-830E-4685-B389-EB65F29A0093}" xr6:coauthVersionLast="47" xr6:coauthVersionMax="47" xr10:uidLastSave="{00000000-0000-0000-0000-000000000000}"/>
  <bookViews>
    <workbookView xWindow="-120" yWindow="-120" windowWidth="29040" windowHeight="15840" firstSheet="4" activeTab="15" xr2:uid="{00000000-000D-0000-FFFF-FFFF00000000}"/>
  </bookViews>
  <sheets>
    <sheet name="VCC" sheetId="1" r:id="rId1"/>
    <sheet name="BRAKE" sheetId="5" r:id="rId2"/>
    <sheet name="COUPLER" sheetId="8" r:id="rId3"/>
    <sheet name="PAPIS &amp; CCTV" sheetId="9" r:id="rId4"/>
    <sheet name="INTERIOR LIGHT" sheetId="10" r:id="rId5"/>
    <sheet name="EXTERIOR LIGHT" sheetId="11" r:id="rId6"/>
    <sheet name="PRESSTON" sheetId="12" r:id="rId7"/>
    <sheet name="DOOR" sheetId="6" r:id="rId8"/>
    <sheet name="TRCC" sheetId="4" r:id="rId9"/>
    <sheet name="VAC" sheetId="3" r:id="rId10"/>
    <sheet name="AAL" sheetId="7" r:id="rId11"/>
    <sheet name="PROPULSION" sheetId="13" r:id="rId12"/>
    <sheet name="FDS" sheetId="16" r:id="rId13"/>
    <sheet name="BOGIE" sheetId="17" r:id="rId14"/>
    <sheet name="23.11.2021" sheetId="18" r:id="rId15"/>
    <sheet name="17.11.2021" sheetId="19" r:id="rId16"/>
  </sheets>
  <definedNames>
    <definedName name="_xlnm._FilterDatabase" localSheetId="15" hidden="1">'17.11.2021'!$G$1:$G$399</definedName>
    <definedName name="_xlnm._FilterDatabase" localSheetId="14" hidden="1">'23.11.2021'!$E$2:$E$535</definedName>
    <definedName name="_xlnm._FilterDatabase" localSheetId="7" hidden="1">DOOR!$A$1:$U$68</definedName>
    <definedName name="_xlnm._FilterDatabase" localSheetId="9" hidden="1">VAC!$B$2:$F$43</definedName>
    <definedName name="Issued__Date" localSheetId="13">BOGIE!#REF!</definedName>
    <definedName name="Issued__Date" localSheetId="12">FDS!#REF!</definedName>
    <definedName name="Issued__Date" localSheetId="11">PROPULSION!#REF!</definedName>
    <definedName name="Issued__Date">BRAKE!$U$4</definedName>
    <definedName name="_xlnm.Print_Area" localSheetId="9">VAC!$A$1:$G$125</definedName>
    <definedName name="_xlnm.Print_Area" localSheetId="0">VCC!$B$1:$G$35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X62" i="6"/>
  <c r="Q35" i="6" l="1"/>
  <c r="X35" i="6" s="1"/>
  <c r="V88" i="5"/>
  <c r="V15" i="5" l="1"/>
  <c r="V38" i="5"/>
  <c r="V55" i="5"/>
  <c r="V56" i="5"/>
  <c r="V66" i="5"/>
  <c r="V83" i="5"/>
  <c r="V81" i="5"/>
  <c r="V76" i="5"/>
  <c r="V86" i="5"/>
  <c r="Q27" i="6" l="1"/>
  <c r="X27" i="6" s="1"/>
  <c r="R27" i="6" l="1"/>
  <c r="Q28" i="6"/>
  <c r="X28" i="6" s="1"/>
  <c r="Q42" i="6"/>
  <c r="X42" i="6" s="1"/>
  <c r="V89" i="5"/>
  <c r="V90" i="5"/>
  <c r="V91" i="5"/>
  <c r="V92" i="5"/>
  <c r="V87" i="5"/>
  <c r="V5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7" i="5"/>
  <c r="V58" i="5"/>
  <c r="V59" i="5"/>
  <c r="V60" i="5"/>
  <c r="V61" i="5"/>
  <c r="V62" i="5"/>
  <c r="V63" i="5"/>
  <c r="V64" i="5"/>
  <c r="V65" i="5"/>
  <c r="V67" i="5"/>
  <c r="V68" i="5"/>
  <c r="V69" i="5"/>
  <c r="V70" i="5"/>
  <c r="V71" i="5"/>
  <c r="V72" i="5"/>
  <c r="V73" i="5"/>
  <c r="V74" i="5"/>
  <c r="V75" i="5"/>
  <c r="V77" i="5"/>
  <c r="V78" i="5"/>
  <c r="V79" i="5"/>
  <c r="V80" i="5"/>
  <c r="V82" i="5"/>
  <c r="V84" i="5"/>
  <c r="V85" i="5"/>
  <c r="V17" i="5"/>
  <c r="V6" i="5"/>
  <c r="V7" i="5"/>
  <c r="V8" i="5"/>
  <c r="V9" i="5"/>
  <c r="V10" i="5"/>
  <c r="V11" i="5"/>
  <c r="V12" i="5"/>
  <c r="V13" i="5"/>
  <c r="V14" i="5"/>
  <c r="V16" i="5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" i="7"/>
  <c r="J5" i="4"/>
  <c r="J6" i="4"/>
  <c r="J7" i="4"/>
  <c r="J8" i="4"/>
  <c r="J9" i="4"/>
  <c r="J10" i="4"/>
  <c r="J4" i="4"/>
  <c r="Q5" i="6"/>
  <c r="X5" i="6" s="1"/>
  <c r="Q6" i="6"/>
  <c r="X6" i="6" s="1"/>
  <c r="Q7" i="6"/>
  <c r="X7" i="6" s="1"/>
  <c r="Q8" i="6"/>
  <c r="X8" i="6" s="1"/>
  <c r="Q9" i="6"/>
  <c r="X9" i="6" s="1"/>
  <c r="Q10" i="6"/>
  <c r="X10" i="6" s="1"/>
  <c r="Q11" i="6"/>
  <c r="X11" i="6" s="1"/>
  <c r="Q12" i="6"/>
  <c r="X12" i="6" s="1"/>
  <c r="Q13" i="6"/>
  <c r="X13" i="6" s="1"/>
  <c r="Q14" i="6"/>
  <c r="X14" i="6" s="1"/>
  <c r="Q15" i="6"/>
  <c r="X15" i="6" s="1"/>
  <c r="Q16" i="6"/>
  <c r="X16" i="6" s="1"/>
  <c r="Q17" i="6"/>
  <c r="X17" i="6" s="1"/>
  <c r="Q18" i="6"/>
  <c r="X18" i="6" s="1"/>
  <c r="Q19" i="6"/>
  <c r="X19" i="6" s="1"/>
  <c r="Q20" i="6"/>
  <c r="X20" i="6" s="1"/>
  <c r="Q21" i="6"/>
  <c r="X21" i="6" s="1"/>
  <c r="Q22" i="6"/>
  <c r="X22" i="6" s="1"/>
  <c r="Q23" i="6"/>
  <c r="X23" i="6" s="1"/>
  <c r="Q24" i="6"/>
  <c r="X24" i="6" s="1"/>
  <c r="Q25" i="6"/>
  <c r="X25" i="6" s="1"/>
  <c r="Q26" i="6"/>
  <c r="X26" i="6" s="1"/>
  <c r="Q29" i="6"/>
  <c r="X29" i="6" s="1"/>
  <c r="Q30" i="6"/>
  <c r="X30" i="6" s="1"/>
  <c r="Q31" i="6"/>
  <c r="X31" i="6" s="1"/>
  <c r="Q32" i="6"/>
  <c r="X32" i="6" s="1"/>
  <c r="Q33" i="6"/>
  <c r="X33" i="6" s="1"/>
  <c r="Q34" i="6"/>
  <c r="X34" i="6" s="1"/>
  <c r="Q36" i="6"/>
  <c r="X36" i="6" s="1"/>
  <c r="Q37" i="6"/>
  <c r="X37" i="6" s="1"/>
  <c r="Q38" i="6"/>
  <c r="X38" i="6" s="1"/>
  <c r="Q39" i="6"/>
  <c r="X39" i="6" s="1"/>
  <c r="Q40" i="6"/>
  <c r="X40" i="6" s="1"/>
  <c r="Q41" i="6"/>
  <c r="X41" i="6" s="1"/>
  <c r="Q43" i="6"/>
  <c r="X43" i="6" s="1"/>
  <c r="Q44" i="6"/>
  <c r="X44" i="6" s="1"/>
  <c r="Q45" i="6"/>
  <c r="X45" i="6" s="1"/>
  <c r="Q46" i="6"/>
  <c r="X46" i="6" s="1"/>
  <c r="Q47" i="6"/>
  <c r="X47" i="6" s="1"/>
  <c r="Q48" i="6"/>
  <c r="X48" i="6" s="1"/>
  <c r="Q49" i="6"/>
  <c r="X49" i="6" s="1"/>
  <c r="Q50" i="6"/>
  <c r="X50" i="6" s="1"/>
  <c r="Q51" i="6"/>
  <c r="X51" i="6" s="1"/>
  <c r="Q52" i="6"/>
  <c r="X52" i="6" s="1"/>
  <c r="Q53" i="6"/>
  <c r="X53" i="6" s="1"/>
  <c r="Q54" i="6"/>
  <c r="X54" i="6" s="1"/>
  <c r="Q55" i="6"/>
  <c r="X55" i="6" s="1"/>
  <c r="Q56" i="6"/>
  <c r="X56" i="6" s="1"/>
  <c r="Q57" i="6"/>
  <c r="X57" i="6" s="1"/>
  <c r="Q58" i="6"/>
  <c r="X58" i="6" s="1"/>
  <c r="Q59" i="6"/>
  <c r="X59" i="6" s="1"/>
  <c r="Q60" i="6"/>
  <c r="X60" i="6" s="1"/>
  <c r="Q61" i="6"/>
  <c r="X61" i="6" s="1"/>
  <c r="Q63" i="6"/>
  <c r="X63" i="6" s="1"/>
  <c r="Q64" i="6"/>
  <c r="X64" i="6" s="1"/>
  <c r="Q65" i="6"/>
  <c r="X65" i="6" s="1"/>
  <c r="Q66" i="6"/>
  <c r="X66" i="6" s="1"/>
  <c r="Q67" i="6"/>
  <c r="X67" i="6" s="1"/>
  <c r="Q68" i="6"/>
  <c r="X68" i="6" s="1"/>
  <c r="Q4" i="6"/>
  <c r="X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BEML PC1</author>
    <author>BEML TNC PC4</author>
  </authors>
  <commentList>
    <comment ref="L15" authorId="0" shapeId="0" xr:uid="{00000000-0006-0000-0100-000001000000}">
      <text>
        <r>
          <rPr>
            <sz val="9"/>
            <color indexed="81"/>
            <rFont val="Tahoma"/>
            <family val="2"/>
          </rPr>
          <t>TS#01,DM1,B2,NCR-81.
Maloy/Vivek
AD19093906</t>
        </r>
      </text>
    </comment>
    <comment ref="J38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TS#10,NCR-40.
Maloy/Kishore
2919141000
</t>
        </r>
      </text>
    </comment>
    <comment ref="P5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TS#14,T1,NCR-172.
Maloy/ Bipab
DN10-491918304
</t>
        </r>
      </text>
    </comment>
    <comment ref="O66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TS#07,NCR76
Maloy/ Kishore
</t>
        </r>
      </text>
    </comment>
    <comment ref="Q66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TS#06,DM2,Becu2.
Maloy/Kishore
ZO5080434
</t>
        </r>
      </text>
    </comment>
    <comment ref="T66" authorId="1" shapeId="0" xr:uid="{00000000-0006-0000-0100-000006000000}">
      <text>
        <r>
          <rPr>
            <sz val="9"/>
            <color indexed="81"/>
            <rFont val="Tahoma"/>
            <family val="2"/>
          </rPr>
          <t>2. Maloy/ Allen
3. Allen/Rana</t>
        </r>
      </text>
    </comment>
    <comment ref="U66" authorId="1" shapeId="0" xr:uid="{00000000-0006-0000-0100-000007000000}">
      <text>
        <r>
          <rPr>
            <sz val="9"/>
            <color indexed="81"/>
            <rFont val="Tahoma"/>
            <family val="2"/>
          </rPr>
          <t>2. 22.08.19
3. 09.11.20</t>
        </r>
      </text>
    </comment>
    <comment ref="N68" authorId="0" shapeId="0" xr:uid="{00000000-0006-0000-0100-00000C000000}">
      <text>
        <r>
          <rPr>
            <sz val="9"/>
            <color indexed="81"/>
            <rFont val="Tahoma"/>
            <family val="2"/>
          </rPr>
          <t xml:space="preserve">TS#02,DM2,B1,NCR-138.
Maloy/Shilpa
ZO8191674
</t>
        </r>
      </text>
    </comment>
    <comment ref="K76" authorId="0" shapeId="0" xr:uid="{00000000-0006-0000-0100-00000D000000}">
      <text>
        <r>
          <rPr>
            <sz val="9"/>
            <color indexed="81"/>
            <rFont val="Tahoma"/>
            <family val="2"/>
          </rPr>
          <t xml:space="preserve">TS#06,T1,B2,NC74
Maloy/Biplab
WKV1-T42/19/0731/29
</t>
        </r>
      </text>
    </comment>
    <comment ref="M83" authorId="0" shapeId="0" xr:uid="{00000000-0006-0000-0100-00000E000000}">
      <text>
        <r>
          <rPr>
            <sz val="9"/>
            <color indexed="81"/>
            <rFont val="Tahoma"/>
            <family val="2"/>
          </rPr>
          <t xml:space="preserve">TS#11,NCR73
Maloy/ Biplab
MKT-75/370,BN:W17557
</t>
        </r>
      </text>
    </comment>
    <comment ref="R88" authorId="0" shapeId="0" xr:uid="{00000000-0006-0000-0100-00000F000000}">
      <text>
        <r>
          <rPr>
            <sz val="9"/>
            <color indexed="81"/>
            <rFont val="Tahoma"/>
            <family val="2"/>
          </rPr>
          <t xml:space="preserve">Maloy/Biplab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BEML TNC PC4</author>
    <author>BEML PC1</author>
  </authors>
  <commentList>
    <comment ref="K27" authorId="0" shapeId="0" xr:uid="{00000000-0006-0000-0700-000001000000}">
      <text>
        <r>
          <rPr>
            <sz val="9"/>
            <color indexed="81"/>
            <rFont val="Tahoma"/>
            <family val="2"/>
          </rPr>
          <t>NCR- 48=31528100000320(0118)
NCR- 122=3152810000695(0718)
NCR- 156=3152810000431(0218)</t>
        </r>
      </text>
    </comment>
    <comment ref="L27" authorId="1" shapeId="0" xr:uid="{00000000-0006-0000-0700-000002000000}">
      <text>
        <r>
          <rPr>
            <sz val="9"/>
            <color indexed="81"/>
            <rFont val="Tahoma"/>
            <family val="2"/>
          </rPr>
          <t>NCR-152-S=315281-00000327(0118)</t>
        </r>
      </text>
    </comment>
    <comment ref="O27" authorId="0" shapeId="0" xr:uid="{00000000-0006-0000-0700-000003000000}">
      <text>
        <r>
          <rPr>
            <sz val="9"/>
            <color indexed="81"/>
            <rFont val="Tahoma"/>
            <family val="2"/>
          </rPr>
          <t>2.Shilpa &amp; Rana
3. Sunil &amp; Maloy
4. Sunil &amp; Maloy
5. Maloy/sunil</t>
        </r>
      </text>
    </comment>
    <comment ref="P27" authorId="0" shapeId="0" xr:uid="{00000000-0006-0000-0700-000004000000}">
      <text>
        <r>
          <rPr>
            <sz val="9"/>
            <color indexed="81"/>
            <rFont val="Tahoma"/>
            <family val="2"/>
          </rPr>
          <t>2. 09.01.20
3. 04.06.20
4. 01.07.20
5. 17.10.20</t>
        </r>
      </text>
    </comment>
    <comment ref="S27" authorId="0" shapeId="0" xr:uid="{00000000-0006-0000-0700-000005000000}">
      <text>
        <r>
          <rPr>
            <sz val="9"/>
            <color indexed="81"/>
            <rFont val="Tahoma"/>
            <family val="2"/>
          </rPr>
          <t>2. 315281-00000280(1217) 
3. 315281-00000162(0917)
4. 315281-00000162(0917)
5. 315281-00000320(0118)</t>
        </r>
      </text>
    </comment>
    <comment ref="T27" authorId="0" shapeId="0" xr:uid="{00000000-0006-0000-0700-000006000000}">
      <text>
        <r>
          <rPr>
            <sz val="9"/>
            <color indexed="81"/>
            <rFont val="Tahoma"/>
            <family val="2"/>
          </rPr>
          <t xml:space="preserve">2. 315281-00000695
3. 315281- 00000327
5. 315281-00000109
</t>
        </r>
      </text>
    </comment>
    <comment ref="U27" authorId="0" shapeId="0" xr:uid="{00000000-0006-0000-0700-000007000000}">
      <text>
        <r>
          <rPr>
            <sz val="9"/>
            <color indexed="81"/>
            <rFont val="Tahoma"/>
            <family val="2"/>
          </rPr>
          <t>2. TS#2,M-1,R-1.
3. TS#13,T2,L2.
4.TS#10,DM2,R4.
5. TS#03,T2,R4</t>
        </r>
      </text>
    </comment>
    <comment ref="V27" authorId="0" shapeId="0" xr:uid="{00000000-0006-0000-0700-000008000000}">
      <text>
        <r>
          <rPr>
            <sz val="9"/>
            <color indexed="81"/>
            <rFont val="Tahoma"/>
            <family val="2"/>
          </rPr>
          <t xml:space="preserve">2) 122
3) 152
4)156
</t>
        </r>
      </text>
    </comment>
  </commentList>
</comments>
</file>

<file path=xl/sharedStrings.xml><?xml version="1.0" encoding="utf-8"?>
<sst xmlns="http://schemas.openxmlformats.org/spreadsheetml/2006/main" count="3771" uniqueCount="1404">
  <si>
    <t xml:space="preserve">Sl Nos. </t>
  </si>
  <si>
    <t>Item Details</t>
  </si>
  <si>
    <t>Unit</t>
  </si>
  <si>
    <t>Nos</t>
  </si>
  <si>
    <t>No</t>
  </si>
  <si>
    <t>Received Qty</t>
  </si>
  <si>
    <t>Received Date</t>
  </si>
  <si>
    <t>7M6108857</t>
  </si>
  <si>
    <t>7A0602467</t>
  </si>
  <si>
    <t>3T203732R124</t>
  </si>
  <si>
    <t>3T309165R23</t>
  </si>
  <si>
    <t>3T309165R24</t>
  </si>
  <si>
    <t>3TD04032R05</t>
  </si>
  <si>
    <t>8HN400639P01</t>
  </si>
  <si>
    <t>7SN300229R03</t>
  </si>
  <si>
    <t>3TD04010R01</t>
  </si>
  <si>
    <t>3TD04022R01</t>
  </si>
  <si>
    <t>7UN400588P03</t>
  </si>
  <si>
    <t>7UN400244P04</t>
  </si>
  <si>
    <t>8FN300430R63</t>
  </si>
  <si>
    <t>Part No</t>
  </si>
  <si>
    <t>Grip</t>
  </si>
  <si>
    <t>E3-0-30268-02</t>
  </si>
  <si>
    <t xml:space="preserve">Locking Device adjustable </t>
  </si>
  <si>
    <t xml:space="preserve">E3-110-20 </t>
  </si>
  <si>
    <t>Treminal Block</t>
  </si>
  <si>
    <t>ST2.5 Twin</t>
  </si>
  <si>
    <t>ST6 Twin</t>
  </si>
  <si>
    <t>RT8</t>
  </si>
  <si>
    <t xml:space="preserve"> MS Connector Race</t>
  </si>
  <si>
    <t>MS3474W24-31PW</t>
  </si>
  <si>
    <t>MS3474W24-31P</t>
  </si>
  <si>
    <t>MS3474W16-8S</t>
  </si>
  <si>
    <t>704.900.3</t>
  </si>
  <si>
    <t>Switching Element</t>
  </si>
  <si>
    <t>704.900.4</t>
  </si>
  <si>
    <t>704.900.5</t>
  </si>
  <si>
    <t>C26</t>
  </si>
  <si>
    <t>Safety Cut Out S/W</t>
  </si>
  <si>
    <t xml:space="preserve">SMS36RDH1 </t>
  </si>
  <si>
    <t>Connector Receptacle</t>
  </si>
  <si>
    <t>Connector Pin</t>
  </si>
  <si>
    <t>RC16M23K</t>
  </si>
  <si>
    <t xml:space="preserve">SMS24RDH1 </t>
  </si>
  <si>
    <t>MS3474w24-31PX</t>
  </si>
  <si>
    <t>MS3474w24-31S</t>
  </si>
  <si>
    <t>MS3474w24-31PW</t>
  </si>
  <si>
    <t>279-907</t>
  </si>
  <si>
    <t>Acss c26 RK9081</t>
  </si>
  <si>
    <t>CAM Switch</t>
  </si>
  <si>
    <t>279-681</t>
  </si>
  <si>
    <t>Male Insert</t>
  </si>
  <si>
    <t>Male Insert Pin</t>
  </si>
  <si>
    <t>Female Insert</t>
  </si>
  <si>
    <t>Female Insert pin</t>
  </si>
  <si>
    <t xml:space="preserve">Quintax Modul Female </t>
  </si>
  <si>
    <t>Quintax Contact Carrier Female</t>
  </si>
  <si>
    <t>Crimp Contact</t>
  </si>
  <si>
    <t xml:space="preserve">Tube </t>
  </si>
  <si>
    <t>Crimp Sleev Red</t>
  </si>
  <si>
    <t>Crimp Sleev Yellow</t>
  </si>
  <si>
    <t>PCSG-48B</t>
  </si>
  <si>
    <t>D-406-0001</t>
  </si>
  <si>
    <t>D-406-0034</t>
  </si>
  <si>
    <t>Mtrs</t>
  </si>
  <si>
    <t>C71275</t>
  </si>
  <si>
    <t>I11775</t>
  </si>
  <si>
    <t>I81535</t>
  </si>
  <si>
    <t>I88533</t>
  </si>
  <si>
    <t>I99660</t>
  </si>
  <si>
    <t>II35833</t>
  </si>
  <si>
    <t>II48013</t>
  </si>
  <si>
    <t>II51150/A</t>
  </si>
  <si>
    <t>N62148/01500</t>
  </si>
  <si>
    <t>N63976/02000</t>
  </si>
  <si>
    <t>STN29890</t>
  </si>
  <si>
    <t>STN33642/F003</t>
  </si>
  <si>
    <t>STN336462/F008</t>
  </si>
  <si>
    <t>STN33865</t>
  </si>
  <si>
    <t>II35827/04838</t>
  </si>
  <si>
    <t>II35827/07060</t>
  </si>
  <si>
    <t>II35828/04535</t>
  </si>
  <si>
    <t>II35829/10075</t>
  </si>
  <si>
    <t>II35830/02017</t>
  </si>
  <si>
    <t>II55802/12-018</t>
  </si>
  <si>
    <t>II53482/1A2E</t>
  </si>
  <si>
    <t>STN41739</t>
  </si>
  <si>
    <t>II50172/2B1R</t>
  </si>
  <si>
    <t>II50175/1A1RE</t>
  </si>
  <si>
    <t>II50175/1A3RE</t>
  </si>
  <si>
    <t>II50175/1H1RE</t>
  </si>
  <si>
    <t>II53482/1A1E</t>
  </si>
  <si>
    <t>II53483/1C1E</t>
  </si>
  <si>
    <t>II53483/2K1E</t>
  </si>
  <si>
    <t>II2546</t>
  </si>
  <si>
    <t>I12546/NR</t>
  </si>
  <si>
    <t>N63976/01000</t>
  </si>
  <si>
    <t>STN39034</t>
  </si>
  <si>
    <t>WSTV200AA009</t>
  </si>
  <si>
    <t>I69434/C</t>
  </si>
  <si>
    <t>II55802/10-011</t>
  </si>
  <si>
    <t>II44729/06006NN</t>
  </si>
  <si>
    <t>II44729/06416NN</t>
  </si>
  <si>
    <t>II90265/06416NQ</t>
  </si>
  <si>
    <t>II90265/06608NQ</t>
  </si>
  <si>
    <t>II44729/10016NN</t>
  </si>
  <si>
    <t>II77139/1</t>
  </si>
  <si>
    <t>II77139/2</t>
  </si>
  <si>
    <t>II16354/1110</t>
  </si>
  <si>
    <t>I98554</t>
  </si>
  <si>
    <t>II49954/078</t>
  </si>
  <si>
    <t>II73429/1</t>
  </si>
  <si>
    <t>STN25089</t>
  </si>
  <si>
    <t>II74151/024</t>
  </si>
  <si>
    <t>II74153/024</t>
  </si>
  <si>
    <t>I22145</t>
  </si>
  <si>
    <t>II91919/02105</t>
  </si>
  <si>
    <t>A70321/2</t>
  </si>
  <si>
    <t>II46182</t>
  </si>
  <si>
    <t>II35828/00604</t>
  </si>
  <si>
    <t>Socket Contact</t>
  </si>
  <si>
    <t>Air Filter</t>
  </si>
  <si>
    <t>Drain valve</t>
  </si>
  <si>
    <t>Silencer</t>
  </si>
  <si>
    <t xml:space="preserve">Socket  </t>
  </si>
  <si>
    <t>Test Fitting</t>
  </si>
  <si>
    <t xml:space="preserve">Connecting Cable </t>
  </si>
  <si>
    <t>Pressure Sensor</t>
  </si>
  <si>
    <t>Counter Connectors</t>
  </si>
  <si>
    <t>Pressure Governor</t>
  </si>
  <si>
    <t xml:space="preserve">Gauge </t>
  </si>
  <si>
    <t>Ballcock</t>
  </si>
  <si>
    <t>Electromechainc</t>
  </si>
  <si>
    <t xml:space="preserve">Check Valve </t>
  </si>
  <si>
    <t xml:space="preserve">Connecting cable </t>
  </si>
  <si>
    <t>Counter Connector</t>
  </si>
  <si>
    <t>Driv Brake Valve</t>
  </si>
  <si>
    <t>Hose Pipes</t>
  </si>
  <si>
    <t xml:space="preserve">Levelling Valve </t>
  </si>
  <si>
    <t xml:space="preserve">Magnet Valve </t>
  </si>
  <si>
    <t xml:space="preserve">Micromesh oil Filt </t>
  </si>
  <si>
    <t xml:space="preserve">Overflow Valve </t>
  </si>
  <si>
    <t xml:space="preserve">Power Supply </t>
  </si>
  <si>
    <t xml:space="preserve">Precontrol Valve </t>
  </si>
  <si>
    <t xml:space="preserve">Press Reduce Valve </t>
  </si>
  <si>
    <t xml:space="preserve">Safety Valve </t>
  </si>
  <si>
    <t>Sleeve</t>
  </si>
  <si>
    <t>3T203732R122</t>
  </si>
  <si>
    <t>3309165R102</t>
  </si>
  <si>
    <t>3TD0441R07</t>
  </si>
  <si>
    <t>3TD0441R08</t>
  </si>
  <si>
    <t>D04012R01</t>
  </si>
  <si>
    <t>3TD04009R01</t>
  </si>
  <si>
    <t>3TD04010R02</t>
  </si>
  <si>
    <t>8FN30043OR61</t>
  </si>
  <si>
    <t>Countersunk Screw</t>
  </si>
  <si>
    <t xml:space="preserve">Body Fit Bolt </t>
  </si>
  <si>
    <t xml:space="preserve">Emergency Device </t>
  </si>
  <si>
    <t>Spring Washer</t>
  </si>
  <si>
    <t>Hex Head Bolt</t>
  </si>
  <si>
    <t xml:space="preserve">Bowden Cable </t>
  </si>
  <si>
    <t>Bowden Cable (One Cable is marked as R76)</t>
  </si>
  <si>
    <t xml:space="preserve">Limit Switch </t>
  </si>
  <si>
    <t xml:space="preserve">Spindle </t>
  </si>
  <si>
    <t>Shaft Nut</t>
  </si>
  <si>
    <t>Unlocking Lever</t>
  </si>
  <si>
    <t xml:space="preserve">Torsion Spring </t>
  </si>
  <si>
    <t>Securing Clip</t>
  </si>
  <si>
    <t>Plug</t>
  </si>
  <si>
    <t>3ED01`922R20</t>
  </si>
  <si>
    <t xml:space="preserve">Remarks </t>
  </si>
  <si>
    <t>DCU</t>
  </si>
  <si>
    <t>7212452 (305 )</t>
  </si>
  <si>
    <t>TRCC RH</t>
  </si>
  <si>
    <t>2213414 (305 )</t>
  </si>
  <si>
    <t>1182142 (305)</t>
  </si>
  <si>
    <t>63283 (305)</t>
  </si>
  <si>
    <t>7212483 (305)</t>
  </si>
  <si>
    <t>Cables Current Collector  Fuse Box</t>
  </si>
  <si>
    <t>Collector Shoe Support RH</t>
  </si>
  <si>
    <t>Insulator RH</t>
  </si>
  <si>
    <t>TRCC LH</t>
  </si>
  <si>
    <t>1182143 (305)</t>
  </si>
  <si>
    <t>Collector Shoe Support LH</t>
  </si>
  <si>
    <t>64025 (305)</t>
  </si>
  <si>
    <t>Insulator LH</t>
  </si>
  <si>
    <t>II35827/04845</t>
  </si>
  <si>
    <t>II50172/1H1RE</t>
  </si>
  <si>
    <t>II50174/1D3RE</t>
  </si>
  <si>
    <t xml:space="preserve">II50174/1H1RE </t>
  </si>
  <si>
    <t>II53483/ 1H1E</t>
  </si>
  <si>
    <t xml:space="preserve">STN38950 </t>
  </si>
  <si>
    <t>STN39577/201</t>
  </si>
  <si>
    <t>STN39580/102</t>
  </si>
  <si>
    <t>STN39580/103</t>
  </si>
  <si>
    <t>STN30711</t>
  </si>
  <si>
    <t>STN30981</t>
  </si>
  <si>
    <t>Counter Connect.s.</t>
  </si>
  <si>
    <t>I37739</t>
  </si>
  <si>
    <t xml:space="preserve">Double Check Valve </t>
  </si>
  <si>
    <t>II55802/10-010</t>
  </si>
  <si>
    <t>II90265/10008NN</t>
  </si>
  <si>
    <t xml:space="preserve">II93453/07025NT </t>
  </si>
  <si>
    <t>I82553/110</t>
  </si>
  <si>
    <t>I89525</t>
  </si>
  <si>
    <t xml:space="preserve">Piston Valve </t>
  </si>
  <si>
    <t>II87566/2450</t>
  </si>
  <si>
    <t>Remote Control</t>
  </si>
  <si>
    <t>II91919/02120</t>
  </si>
  <si>
    <t>STN43829</t>
  </si>
  <si>
    <t>Set of Connectors</t>
  </si>
  <si>
    <t>STN43835</t>
  </si>
  <si>
    <t>STN31451/120010U</t>
  </si>
  <si>
    <t>Speed Sensor</t>
  </si>
  <si>
    <t>II103226/07</t>
  </si>
  <si>
    <t>Three way  Cock</t>
  </si>
  <si>
    <t>II51214</t>
  </si>
  <si>
    <t>Tyfon</t>
  </si>
  <si>
    <t>II51759</t>
  </si>
  <si>
    <t>II65385/5H1RE</t>
  </si>
  <si>
    <t>II16352/1110</t>
  </si>
  <si>
    <t>Impulse Valve</t>
  </si>
  <si>
    <t>FT0053012-002</t>
  </si>
  <si>
    <t>12.0700.0019</t>
  </si>
  <si>
    <t>FT0053039-004</t>
  </si>
  <si>
    <t>FT0053014-008</t>
  </si>
  <si>
    <t>FT0053014-009</t>
  </si>
  <si>
    <t>12.1000.0141</t>
  </si>
  <si>
    <t>FT0051792-009</t>
  </si>
  <si>
    <t>12.1000.0009</t>
  </si>
  <si>
    <t>FT0053038-020</t>
  </si>
  <si>
    <t>FT0053038-001</t>
  </si>
  <si>
    <t>FT0053038-103</t>
  </si>
  <si>
    <t>FT0053038-002</t>
  </si>
  <si>
    <t>12.1000.0127</t>
  </si>
  <si>
    <t>FT0051797-102</t>
  </si>
  <si>
    <t>FT0053009-117</t>
  </si>
  <si>
    <t>FT0053009-109</t>
  </si>
  <si>
    <t>FT0051810-100</t>
  </si>
  <si>
    <t>12.0301.0030</t>
  </si>
  <si>
    <t>12.0100.0016</t>
  </si>
  <si>
    <t>FT0052509-001</t>
  </si>
  <si>
    <t>FT0053039-003</t>
  </si>
  <si>
    <t>FT0050709-000</t>
  </si>
  <si>
    <t>FT0053039-002</t>
  </si>
  <si>
    <t>FT0053039-001</t>
  </si>
  <si>
    <t>12.0301.0029</t>
  </si>
  <si>
    <t>High pressure sensor (-1~30bar)</t>
  </si>
  <si>
    <t>Low pressure sensor (-1 to 10bar)</t>
  </si>
  <si>
    <t>Injection valve JYF-06</t>
  </si>
  <si>
    <t>Coil for Solenoid valve</t>
  </si>
  <si>
    <t>NTC Type temperature sensor</t>
  </si>
  <si>
    <t>Fresh air filter -G3/EN779</t>
  </si>
  <si>
    <t>Damper for fresh air control</t>
  </si>
  <si>
    <t>Emergency Inverter</t>
  </si>
  <si>
    <t>Set</t>
  </si>
  <si>
    <t xml:space="preserve">Sl Nos </t>
  </si>
  <si>
    <t>High pressure switch (23/19 bar)</t>
  </si>
  <si>
    <t>12.0601.0201</t>
  </si>
  <si>
    <t>Smoke Sensor</t>
  </si>
  <si>
    <t>Air Damper Actuator LM72A-T-3</t>
  </si>
  <si>
    <t>Mixed air filter - G3 / EN779</t>
  </si>
  <si>
    <t>Damper for return air control</t>
  </si>
  <si>
    <t>FT0053009-116</t>
  </si>
  <si>
    <t>FT0053013-014</t>
  </si>
  <si>
    <t>FT0053013-015</t>
  </si>
  <si>
    <t>MCB (2 Pole)</t>
  </si>
  <si>
    <t>FT0053013-013</t>
  </si>
  <si>
    <t>Contactor</t>
  </si>
  <si>
    <t>Ft0053013-010</t>
  </si>
  <si>
    <t>Ft0053013-012</t>
  </si>
  <si>
    <t>Auxilliry Contactor</t>
  </si>
  <si>
    <t>FT0053014-011</t>
  </si>
  <si>
    <t>Ft0053014-012</t>
  </si>
  <si>
    <t>FT0052595-103</t>
  </si>
  <si>
    <t>Auxilliry Contact</t>
  </si>
  <si>
    <t>Terminal Block</t>
  </si>
  <si>
    <t>Diode</t>
  </si>
  <si>
    <t>Connector</t>
  </si>
  <si>
    <t>Isolation Switch</t>
  </si>
  <si>
    <t>Safety Relay</t>
  </si>
  <si>
    <t>Safety Relay Socket</t>
  </si>
  <si>
    <t>Indicator RED</t>
  </si>
  <si>
    <t>Indicator YELLOW</t>
  </si>
  <si>
    <t>Overload Relay</t>
  </si>
  <si>
    <t>MCB 80A, 3P</t>
  </si>
  <si>
    <t>Auxillary Contact (for 80A MCB)</t>
  </si>
  <si>
    <t>Control Relay</t>
  </si>
  <si>
    <t xml:space="preserve">Auxillary contact  </t>
  </si>
  <si>
    <t>MCB 10A, 1P</t>
  </si>
  <si>
    <t>MCB 10A, 3P</t>
  </si>
  <si>
    <t>MCB 16A, 1P</t>
  </si>
  <si>
    <t>RCCB 20A, 2P</t>
  </si>
  <si>
    <t>MCB 3A ,1P</t>
  </si>
  <si>
    <t>PE0019</t>
  </si>
  <si>
    <t>Manufacturer part number</t>
  </si>
  <si>
    <t>PE0030</t>
  </si>
  <si>
    <t>PE0032</t>
  </si>
  <si>
    <t>PE0033</t>
  </si>
  <si>
    <t>PE0034</t>
  </si>
  <si>
    <t>PE0035</t>
  </si>
  <si>
    <t>PE0037</t>
  </si>
  <si>
    <t>PE0081</t>
  </si>
  <si>
    <t>PE0082</t>
  </si>
  <si>
    <t>PE0083</t>
  </si>
  <si>
    <t>PE0118</t>
  </si>
  <si>
    <t>PE0119</t>
  </si>
  <si>
    <t>PE0121</t>
  </si>
  <si>
    <t>PE0801</t>
  </si>
  <si>
    <t>PE0802</t>
  </si>
  <si>
    <t>PE0828</t>
  </si>
  <si>
    <t>PE0830</t>
  </si>
  <si>
    <t>PE0833-1</t>
  </si>
  <si>
    <t>PE0834-1</t>
  </si>
  <si>
    <t>PE0835-1</t>
  </si>
  <si>
    <t>PE1000</t>
  </si>
  <si>
    <t>PE1001</t>
  </si>
  <si>
    <t>PE1003</t>
  </si>
  <si>
    <t>PE1017</t>
  </si>
  <si>
    <t>PE1018</t>
  </si>
  <si>
    <t>PE1021</t>
  </si>
  <si>
    <t>PE1022</t>
  </si>
  <si>
    <t>PE1026</t>
  </si>
  <si>
    <t>PE1032</t>
  </si>
  <si>
    <t>PE1033</t>
  </si>
  <si>
    <t>PE1034</t>
  </si>
  <si>
    <t>PE1035</t>
  </si>
  <si>
    <t>PE1036</t>
  </si>
  <si>
    <t>PE13002</t>
  </si>
  <si>
    <t>PE13003</t>
  </si>
  <si>
    <t>PE13004</t>
  </si>
  <si>
    <t>PE13009</t>
  </si>
  <si>
    <t>PE13013</t>
  </si>
  <si>
    <t>PE0155</t>
  </si>
  <si>
    <t>PE0156</t>
  </si>
  <si>
    <t>C195S/110ET-U2-004</t>
  </si>
  <si>
    <t>KH-60100-4P</t>
  </si>
  <si>
    <t>KH-60100-3P</t>
  </si>
  <si>
    <t>KH-60200-4P</t>
  </si>
  <si>
    <t>KH-60200-3P</t>
  </si>
  <si>
    <t>MDD26-16N1B</t>
  </si>
  <si>
    <t>MS3474W20-16S SOURIAU/AMPHENOL</t>
  </si>
  <si>
    <t>MS3474W20-16P SOURIAU/AMPHENOL</t>
  </si>
  <si>
    <t>INS250/INS250-3P</t>
  </si>
  <si>
    <t>C0091101JSV1</t>
  </si>
  <si>
    <t>C0271104FSV1</t>
  </si>
  <si>
    <t>CORNJ4F</t>
  </si>
  <si>
    <t>D-U204KL</t>
  </si>
  <si>
    <t>D8-U204KL</t>
  </si>
  <si>
    <t>17-411130DC(RED)K4</t>
  </si>
  <si>
    <t>17-411132DC(YELOOW)K4</t>
  </si>
  <si>
    <t>DAPG-21ML(52015750)</t>
  </si>
  <si>
    <t>DAPG-29ML(520157560)</t>
  </si>
  <si>
    <t>DAPG-36ML(52015755)</t>
  </si>
  <si>
    <t>LC1DT256FD</t>
  </si>
  <si>
    <t>LC1DT406FD</t>
  </si>
  <si>
    <t>LRD3256</t>
  </si>
  <si>
    <t>A9N18512</t>
  </si>
  <si>
    <t>A9N26924</t>
  </si>
  <si>
    <t>CAD506FD S207</t>
  </si>
  <si>
    <t>CAD326FD S207</t>
  </si>
  <si>
    <t>RE22R2MYMR</t>
  </si>
  <si>
    <t>LADN226</t>
  </si>
  <si>
    <t>LADN406</t>
  </si>
  <si>
    <t>LC1D140A6D</t>
  </si>
  <si>
    <t>281-665/281-401</t>
  </si>
  <si>
    <t>MGN61831</t>
  </si>
  <si>
    <t>M9F15310</t>
  </si>
  <si>
    <t>MGN61833</t>
  </si>
  <si>
    <t>M9D11620</t>
  </si>
  <si>
    <t>LADN316</t>
  </si>
  <si>
    <t>DD171N16K</t>
  </si>
  <si>
    <t>MGN61826</t>
  </si>
  <si>
    <t>Cable Gland + Nut</t>
  </si>
  <si>
    <t>Relay Timer</t>
  </si>
  <si>
    <t>MGN26924/MULTI 9 OF</t>
  </si>
  <si>
    <t>A9N26924/ACTI 9OF</t>
  </si>
  <si>
    <t>Sight glass SGN 16S</t>
  </si>
  <si>
    <t>FT0053009-104</t>
  </si>
  <si>
    <t>FT0053009-105</t>
  </si>
  <si>
    <t>Evaporator (LH)</t>
  </si>
  <si>
    <t>Evaporator (RH)</t>
  </si>
  <si>
    <t>Hygrostat</t>
  </si>
  <si>
    <t xml:space="preserve">Guide Rail </t>
  </si>
  <si>
    <t>Emergency Device</t>
  </si>
  <si>
    <t>Pedal</t>
  </si>
  <si>
    <t xml:space="preserve">Geared Motor </t>
  </si>
  <si>
    <t xml:space="preserve">Hinged Nut </t>
  </si>
  <si>
    <t xml:space="preserve">Angle </t>
  </si>
  <si>
    <t xml:space="preserve">Mounting Plate </t>
  </si>
  <si>
    <t xml:space="preserve">Shim </t>
  </si>
  <si>
    <t>Plastic Plugs</t>
  </si>
  <si>
    <t xml:space="preserve">T- Bolt </t>
  </si>
  <si>
    <t>Clamp</t>
  </si>
  <si>
    <t xml:space="preserve">Washer </t>
  </si>
  <si>
    <t xml:space="preserve">Spring Washer </t>
  </si>
  <si>
    <t>Counter sunk Screw</t>
  </si>
  <si>
    <t>Hexa gon Nut</t>
  </si>
  <si>
    <t xml:space="preserve">Hex Head Bolt </t>
  </si>
  <si>
    <t>Machine Screw</t>
  </si>
  <si>
    <t>Oval- Head screw</t>
  </si>
  <si>
    <t>Pan Head Screw</t>
  </si>
  <si>
    <t>3TD06593R07</t>
  </si>
  <si>
    <t>3TD06593R08</t>
  </si>
  <si>
    <t>3TD203732R124</t>
  </si>
  <si>
    <t>3TD203732R122</t>
  </si>
  <si>
    <t>3TD05550R06</t>
  </si>
  <si>
    <t>Limit Switch</t>
  </si>
  <si>
    <t>3TD04053R13</t>
  </si>
  <si>
    <t>3TD07361R51</t>
  </si>
  <si>
    <t>3TD07361R54</t>
  </si>
  <si>
    <t>3TD04439R05</t>
  </si>
  <si>
    <t>3TD04439R06</t>
  </si>
  <si>
    <t>3TD15775R01</t>
  </si>
  <si>
    <t>3TD15776R01</t>
  </si>
  <si>
    <t>3TD15776R02</t>
  </si>
  <si>
    <t>3TD15777R01</t>
  </si>
  <si>
    <t>3TD15784R01</t>
  </si>
  <si>
    <t>3TD15818R01</t>
  </si>
  <si>
    <t>3TD15841R02</t>
  </si>
  <si>
    <t>7UN400256R04</t>
  </si>
  <si>
    <t>7A0602857</t>
  </si>
  <si>
    <t>7A8900010</t>
  </si>
  <si>
    <t>7B1201210</t>
  </si>
  <si>
    <t>7B1203300</t>
  </si>
  <si>
    <t>7D2203550</t>
  </si>
  <si>
    <t>7D2605407</t>
  </si>
  <si>
    <t>7D2605500</t>
  </si>
  <si>
    <t>7L5201707</t>
  </si>
  <si>
    <t>7M6108821</t>
  </si>
  <si>
    <t>7M6108830</t>
  </si>
  <si>
    <t>3TD90003R79</t>
  </si>
  <si>
    <t>3TD15893R03</t>
  </si>
  <si>
    <t>7B1201300</t>
  </si>
  <si>
    <t>7D2203650</t>
  </si>
  <si>
    <t>09.12.19</t>
  </si>
  <si>
    <t>T- Bolt</t>
  </si>
  <si>
    <t>Single Hose Protection Valve</t>
  </si>
  <si>
    <t>AB839-T8</t>
  </si>
  <si>
    <t>DLP Qty to be provided</t>
  </si>
  <si>
    <t xml:space="preserve">Issued Qty </t>
  </si>
  <si>
    <t>9</t>
  </si>
  <si>
    <t>FT0051863-101</t>
  </si>
  <si>
    <t>FT0053009-108</t>
  </si>
  <si>
    <t>-</t>
  </si>
  <si>
    <t>Stock to be provided by firm</t>
  </si>
  <si>
    <t>Filter dryer DML-0855 (Saloon)</t>
  </si>
  <si>
    <t>Expansion Valve - 067N5156 (Saloon)</t>
  </si>
  <si>
    <t>Auxilliary Switch -3 m cable (Saloon)</t>
  </si>
  <si>
    <t>Logic controller FPC24 / 2 (DC110)  (Saloon)</t>
  </si>
  <si>
    <t>Vibration damper for compresers (Cab)</t>
  </si>
  <si>
    <t>Sight glass SGN10s (Cab)</t>
  </si>
  <si>
    <t>Expansion Valve (Cab)</t>
  </si>
  <si>
    <t>Logic Controller FPC08-HV(Cont) (Cab)</t>
  </si>
  <si>
    <t>Compressor - ZRH116KTE-TFD-502 (Saloon)</t>
  </si>
  <si>
    <t>Dryer filter : DML 053s (Cab)</t>
  </si>
  <si>
    <t>Condenssor air fan motor - 0.2 KW (Cab)</t>
  </si>
  <si>
    <t>FT0053013-011</t>
  </si>
  <si>
    <t>RCCB-63 amp</t>
  </si>
  <si>
    <t> Saloon kit parts </t>
  </si>
  <si>
    <t>FT0053009-K00</t>
  </si>
  <si>
    <t>Mixed/Reurn Air filter</t>
  </si>
  <si>
    <t>FT0051861-001</t>
  </si>
  <si>
    <t>Seld Adhesive sealing tape (pasted with RAD)</t>
  </si>
  <si>
    <t>FT0053104-063</t>
  </si>
  <si>
    <t>FT0053013-13</t>
  </si>
  <si>
    <t>Female connectors (3 pole)</t>
  </si>
  <si>
    <t>FT0053013-14</t>
  </si>
  <si>
    <t>Male connectors (3 pole)</t>
  </si>
  <si>
    <t>FT0053013-12</t>
  </si>
  <si>
    <t>1.5 Sq mm TAB contacts(male)</t>
  </si>
  <si>
    <t>FT0053014-08</t>
  </si>
  <si>
    <t xml:space="preserve">Receptacle Contacts </t>
  </si>
  <si>
    <t>FT0053014-07</t>
  </si>
  <si>
    <t>Seal Cavity Plug</t>
  </si>
  <si>
    <t>12.1401.0203</t>
  </si>
  <si>
    <t>Hexagonal nut M6 GB/T6170-A2-70</t>
  </si>
  <si>
    <t>12.1401.1002</t>
  </si>
  <si>
    <t>Locking washer BN80074-6-A4</t>
  </si>
  <si>
    <t>FT0052179-002</t>
  </si>
  <si>
    <t>Captive Screw</t>
  </si>
  <si>
    <t>FT0052179-003</t>
  </si>
  <si>
    <t>Receptacle</t>
  </si>
  <si>
    <t>FT0052179-004</t>
  </si>
  <si>
    <t>Retaining Washer</t>
  </si>
  <si>
    <t>Air damper actuator (assembled with RAD)</t>
  </si>
  <si>
    <t>12.1401.0309</t>
  </si>
  <si>
    <t>Hexagonal bolt M6*16 GB/T5783</t>
  </si>
  <si>
    <t>Hex head screw M16x40 (SS)-8.8</t>
  </si>
  <si>
    <t>Hex head M16 (St. Steel)</t>
  </si>
  <si>
    <t>Plain washer A16 (SS -AISI304)</t>
  </si>
  <si>
    <t>Spring lock washer B16 (SS)</t>
  </si>
  <si>
    <t>i)</t>
  </si>
  <si>
    <t>ii)</t>
  </si>
  <si>
    <t>iii)</t>
  </si>
  <si>
    <t>iv)</t>
  </si>
  <si>
    <t>v)</t>
  </si>
  <si>
    <t>vi)</t>
  </si>
  <si>
    <t>vii)</t>
  </si>
  <si>
    <t>ix)</t>
  </si>
  <si>
    <t>x)</t>
  </si>
  <si>
    <t>xi)</t>
  </si>
  <si>
    <t>xii)</t>
  </si>
  <si>
    <t>xiii)</t>
  </si>
  <si>
    <t>xiv)</t>
  </si>
  <si>
    <t>xv)</t>
  </si>
  <si>
    <t>xvi)</t>
  </si>
  <si>
    <t>xvii)</t>
  </si>
  <si>
    <t>xviii)</t>
  </si>
  <si>
    <t>xix)</t>
  </si>
  <si>
    <t>xx)</t>
  </si>
  <si>
    <t>xxi)</t>
  </si>
  <si>
    <t>xxii)</t>
  </si>
  <si>
    <t>xxiii)</t>
  </si>
  <si>
    <t>No.</t>
  </si>
  <si>
    <t>Piece</t>
  </si>
  <si>
    <t>RA-Filter - L-Angle                                                   (welded with MA filter)</t>
  </si>
  <si>
    <t>Auxiliary Switch - 3 m cable                  (assembled with RAD)</t>
  </si>
  <si>
    <t>Location</t>
  </si>
  <si>
    <t>20.01.20</t>
  </si>
  <si>
    <t>04.05.19</t>
  </si>
  <si>
    <t>16.05.19</t>
  </si>
  <si>
    <t>Issued  To</t>
  </si>
  <si>
    <t>Issued  Date</t>
  </si>
  <si>
    <t>Train No</t>
  </si>
  <si>
    <t>Items Sl No</t>
  </si>
  <si>
    <t>Faulty Items Details</t>
  </si>
  <si>
    <t>1. 315281-00000212(1217)</t>
  </si>
  <si>
    <t>1. 315281-00000320</t>
  </si>
  <si>
    <t>03.12.19</t>
  </si>
  <si>
    <t>31.07.19</t>
  </si>
  <si>
    <t>04.11.19</t>
  </si>
  <si>
    <t>13.03.19</t>
  </si>
  <si>
    <t>DC No</t>
  </si>
  <si>
    <t>21.11.19</t>
  </si>
  <si>
    <t>viii)</t>
  </si>
  <si>
    <t>1. Maloy/Allen</t>
  </si>
  <si>
    <t>1. 02.08.19</t>
  </si>
  <si>
    <t>1. Vivek/ Rana</t>
  </si>
  <si>
    <t>1. 23.08.19</t>
  </si>
  <si>
    <t>1. 26.08.19</t>
  </si>
  <si>
    <t>1.  Maloy/vivek</t>
  </si>
  <si>
    <t>Circuit Board (LAD06A)</t>
  </si>
  <si>
    <t>1. 14.02.20</t>
  </si>
  <si>
    <t>1. 18.06.19</t>
  </si>
  <si>
    <t>Issued Items Sl No</t>
  </si>
  <si>
    <t xml:space="preserve"> Allen/Rana</t>
  </si>
  <si>
    <t xml:space="preserve"> 07.09.19</t>
  </si>
  <si>
    <t>1. Rana/Balram</t>
  </si>
  <si>
    <t>1. 28.05.19</t>
  </si>
  <si>
    <t>Circuit Board (LAD05A)</t>
  </si>
  <si>
    <t xml:space="preserve">Received Qty      </t>
  </si>
  <si>
    <t>08.05.19</t>
  </si>
  <si>
    <t>1. Maloy &amp; Sunil</t>
  </si>
  <si>
    <t>DC Copy SL No</t>
  </si>
  <si>
    <t>Dc Copy SL No</t>
  </si>
  <si>
    <t>Avl with BEML as on date 18.06.20</t>
  </si>
  <si>
    <t>dc copy sl no</t>
  </si>
  <si>
    <t>DC COPY SL NO</t>
  </si>
  <si>
    <t>19.06.20</t>
  </si>
  <si>
    <t>Circuit Board (KSN01A)</t>
  </si>
  <si>
    <t>Circuit Board (LAD01B)</t>
  </si>
  <si>
    <t>02.03.20</t>
  </si>
  <si>
    <t>Solenoid valve EVR10</t>
  </si>
  <si>
    <t>MPCB - Condenser fan &amp; SAF (Cab)</t>
  </si>
  <si>
    <t>Centrifugal fan assenbly(Supply Fan)-saloon</t>
  </si>
  <si>
    <t>Compressor ZR28K3E-TFD-522-CAB</t>
  </si>
  <si>
    <t>MPCB - 20Amp-Saloon</t>
  </si>
  <si>
    <t>MPCB - 4Amp-Saloon</t>
  </si>
  <si>
    <t>Low pressure switch-Cab</t>
  </si>
  <si>
    <t>MPCB - Compressor-CAB</t>
  </si>
  <si>
    <t>Contactor (110 VDC)-CAB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</si>
  <si>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</si>
  <si>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Recouped qty</t>
  </si>
  <si>
    <t>Recouped Qty</t>
  </si>
  <si>
    <t>1. VIVEK/SUNIL</t>
  </si>
  <si>
    <t>06.05.20</t>
  </si>
  <si>
    <t>1. Vivek/ Sunil</t>
  </si>
  <si>
    <t>Distributor Valve (STV)</t>
  </si>
  <si>
    <t>14.12.19</t>
  </si>
  <si>
    <t>II88960/024</t>
  </si>
  <si>
    <t>Anti Skid valve</t>
  </si>
  <si>
    <t>07.08.20</t>
  </si>
  <si>
    <t>II102629/57124MX</t>
  </si>
  <si>
    <t>Brake caliper unit</t>
  </si>
  <si>
    <t>II99620/110</t>
  </si>
  <si>
    <t>Magnetic valve without plug</t>
  </si>
  <si>
    <t>II47482/OE03A09</t>
  </si>
  <si>
    <t>Oil separator</t>
  </si>
  <si>
    <t>II46448/001</t>
  </si>
  <si>
    <t>Relay valve</t>
  </si>
  <si>
    <t>II102628/24MX</t>
  </si>
  <si>
    <t>Remarks</t>
  </si>
  <si>
    <r>
      <t xml:space="preserve">DLP Spares Received in KMRCL METRO Depot </t>
    </r>
    <r>
      <rPr>
        <b/>
        <sz val="22"/>
        <color rgb="FFFF0000"/>
        <rFont val="Algerian"/>
        <family val="5"/>
      </rPr>
      <t>(</t>
    </r>
    <r>
      <rPr>
        <b/>
        <sz val="22"/>
        <color theme="1"/>
        <rFont val="Algerian"/>
        <family val="5"/>
      </rPr>
      <t xml:space="preserve"> AAL </t>
    </r>
    <r>
      <rPr>
        <b/>
        <sz val="22"/>
        <color rgb="FFFF0000"/>
        <rFont val="Algerian"/>
        <family val="5"/>
      </rPr>
      <t>)   date :07.08.20</t>
    </r>
  </si>
  <si>
    <t>Hexagon Nut</t>
  </si>
  <si>
    <t xml:space="preserve">Flat Washer </t>
  </si>
  <si>
    <t>Hardware kit</t>
  </si>
  <si>
    <t>3TD15782R01</t>
  </si>
  <si>
    <t>7M6301010</t>
  </si>
  <si>
    <t xml:space="preserve"> Cellular Rubber</t>
  </si>
  <si>
    <t>C01 E.Parts Loose</t>
  </si>
  <si>
    <t>Brake caliper unit (Repair)</t>
  </si>
  <si>
    <t>CAR NO</t>
  </si>
  <si>
    <t>NCR NO</t>
  </si>
  <si>
    <t>1) 48</t>
  </si>
  <si>
    <t>1. TS# 09.</t>
  </si>
  <si>
    <t>DC copy sl no</t>
  </si>
  <si>
    <t>14.09.20</t>
  </si>
  <si>
    <t>Allen/ Rana</t>
  </si>
  <si>
    <t>25.09.20</t>
  </si>
  <si>
    <t>20.10.20</t>
  </si>
  <si>
    <t>27.10.20</t>
  </si>
  <si>
    <t>19.11.20</t>
  </si>
  <si>
    <t>02.07.19</t>
  </si>
  <si>
    <t>1. 28.08.20</t>
  </si>
  <si>
    <t>Vibration damper for Saloon -Compressor</t>
  </si>
  <si>
    <t xml:space="preserve">Control Panel </t>
  </si>
  <si>
    <t>Control Panel Assembly W/O Con Parts Kit</t>
  </si>
  <si>
    <t>_</t>
  </si>
  <si>
    <t>FT0053012-003</t>
  </si>
  <si>
    <t>FT0053013-102</t>
  </si>
  <si>
    <t>Pins Female -16mm2</t>
  </si>
  <si>
    <t xml:space="preserve">Frame Female </t>
  </si>
  <si>
    <t xml:space="preserve">Locking Element for Hinged Frame </t>
  </si>
  <si>
    <t>Female Module Gray 2 Pos</t>
  </si>
  <si>
    <t>16 Pos Female Crimp Termition</t>
  </si>
  <si>
    <t>Pins Female -1.5mm2 (Silver)</t>
  </si>
  <si>
    <t>Pins Female - 2.5mm2(Silver)</t>
  </si>
  <si>
    <t>Hood Side Entry  HC M40</t>
  </si>
  <si>
    <t>Hood Gland M40</t>
  </si>
  <si>
    <t xml:space="preserve">DSUB Conn 9 Pos Male </t>
  </si>
  <si>
    <t xml:space="preserve">Terminal 0.25-0.56mm2 Male Gold </t>
  </si>
  <si>
    <t>D-Sub Hood 9 Pole Top &amp; Side Entry 4-40</t>
  </si>
  <si>
    <t>Female Screw Lock 4-40/M3</t>
  </si>
  <si>
    <t>Connector 32Poss (HEE-032F)</t>
  </si>
  <si>
    <t>4 mm2 Female Terminal Silver  (CEF-4.0)</t>
  </si>
  <si>
    <t>2.5mm2 Female Terminal Silver  (CEF-2.5)</t>
  </si>
  <si>
    <t>1.5mm2 Female Terminal Silver  (CEF-1.5)</t>
  </si>
  <si>
    <t>Connector 72 Pos (HDD-072F)</t>
  </si>
  <si>
    <t>0.75mm2 Female Terminal Gold (DDF-0.75)</t>
  </si>
  <si>
    <t>Hood Side Entry High Const. M40</t>
  </si>
  <si>
    <t>Metal Glands M40 (DLX-40M)</t>
  </si>
  <si>
    <t>Faiveley Logo  Printed Label</t>
  </si>
  <si>
    <t>Conn 16 Pos Recept Black</t>
  </si>
  <si>
    <t>A348-013-3075-00</t>
  </si>
  <si>
    <t>A348-002-3017-00</t>
  </si>
  <si>
    <t>A348-003-3028-00</t>
  </si>
  <si>
    <t>A348-012-3041-00</t>
  </si>
  <si>
    <t>A348-012-3124-00</t>
  </si>
  <si>
    <t>A348-013-3046-00</t>
  </si>
  <si>
    <t>A348-013-3045-00</t>
  </si>
  <si>
    <t>A348-002-3013-00</t>
  </si>
  <si>
    <t>A348-002-3014-00</t>
  </si>
  <si>
    <t>A348-012-3006-00</t>
  </si>
  <si>
    <t>A348-013-3002-00</t>
  </si>
  <si>
    <t>A348-003-3048-00</t>
  </si>
  <si>
    <t>A348-002-3002-00</t>
  </si>
  <si>
    <t>A348-012-3004-00</t>
  </si>
  <si>
    <t>A348-003-3009-00</t>
  </si>
  <si>
    <t>A348-002-3016-00</t>
  </si>
  <si>
    <t>A348-002-3015-00</t>
  </si>
  <si>
    <t>A348-013-3083-00</t>
  </si>
  <si>
    <t>A348-012-3128-00</t>
  </si>
  <si>
    <t>A348-013-3081-00</t>
  </si>
  <si>
    <t>A348-013-3080-00</t>
  </si>
  <si>
    <t>A348-013-3079-00</t>
  </si>
  <si>
    <t>A348-012-3126-00</t>
  </si>
  <si>
    <t>NO</t>
  </si>
  <si>
    <t>FT0053012-102</t>
  </si>
  <si>
    <t>Condenssor Fan Asembly .                                       (1. Motor-6 &amp; 2. Fan- 6 Nos )</t>
  </si>
  <si>
    <t>FT00551800-002</t>
  </si>
  <si>
    <t>1. 28.10.20</t>
  </si>
  <si>
    <t>1. 12.12.20</t>
  </si>
  <si>
    <t>1. Kishore/Maloy</t>
  </si>
  <si>
    <t>1. Sunil/Rana</t>
  </si>
  <si>
    <t>1. 30.12.20</t>
  </si>
  <si>
    <t>01/220/0052</t>
  </si>
  <si>
    <t>02/200/0070</t>
  </si>
  <si>
    <t>TS#13,M2,L3</t>
  </si>
  <si>
    <t>1) 225</t>
  </si>
  <si>
    <t>01.02.21</t>
  </si>
  <si>
    <t>Contactor-Saloon Compressor (110VDC)</t>
  </si>
  <si>
    <t>5 No Sending by KBI Connector Replacement Parpus.</t>
  </si>
  <si>
    <t>04.03.21</t>
  </si>
  <si>
    <r>
      <t xml:space="preserve">DLP Materials Received in KMRCL METRO Depot </t>
    </r>
    <r>
      <rPr>
        <b/>
        <sz val="22"/>
        <color rgb="FFFF0000"/>
        <rFont val="Algerian"/>
        <family val="5"/>
      </rPr>
      <t xml:space="preserve">( </t>
    </r>
    <r>
      <rPr>
        <b/>
        <sz val="22"/>
        <color theme="1"/>
        <rFont val="Algerian"/>
        <family val="5"/>
      </rPr>
      <t xml:space="preserve">KBI-Door </t>
    </r>
    <r>
      <rPr>
        <b/>
        <sz val="22"/>
        <color rgb="FFFF0000"/>
        <rFont val="Algerian"/>
        <family val="5"/>
      </rPr>
      <t>)            Date : 13.03.2021</t>
    </r>
  </si>
  <si>
    <r>
      <t xml:space="preserve">DLP Materials Received IN KMRCL METRO Depot </t>
    </r>
    <r>
      <rPr>
        <b/>
        <sz val="20"/>
        <color rgb="FFFF0000"/>
        <rFont val="Algerian"/>
        <family val="5"/>
      </rPr>
      <t>(</t>
    </r>
    <r>
      <rPr>
        <b/>
        <sz val="20"/>
        <color theme="1"/>
        <rFont val="Algerian"/>
        <family val="5"/>
      </rPr>
      <t xml:space="preserve"> KBI</t>
    </r>
    <r>
      <rPr>
        <b/>
        <sz val="20"/>
        <color rgb="FFFF0000"/>
        <rFont val="Algerian"/>
        <family val="5"/>
      </rPr>
      <t xml:space="preserve">  </t>
    </r>
    <r>
      <rPr>
        <b/>
        <sz val="20"/>
        <color theme="1"/>
        <rFont val="Algerian"/>
        <family val="5"/>
      </rPr>
      <t>Brake</t>
    </r>
    <r>
      <rPr>
        <b/>
        <sz val="20"/>
        <color rgb="FFFF0000"/>
        <rFont val="Algerian"/>
        <family val="5"/>
      </rPr>
      <t>)      date :13.03.2021</t>
    </r>
  </si>
  <si>
    <r>
      <t xml:space="preserve">DLP Materials Received in KMRCL METRO Depot </t>
    </r>
    <r>
      <rPr>
        <b/>
        <sz val="22"/>
        <color rgb="FFFF0000"/>
        <rFont val="Algerian"/>
        <family val="5"/>
      </rPr>
      <t>(</t>
    </r>
    <r>
      <rPr>
        <b/>
        <sz val="22"/>
        <color theme="1"/>
        <rFont val="Algerian"/>
        <family val="5"/>
      </rPr>
      <t xml:space="preserve">vac- Faiveley </t>
    </r>
    <r>
      <rPr>
        <b/>
        <sz val="22"/>
        <color rgb="FFFF0000"/>
        <rFont val="Algerian"/>
        <family val="5"/>
      </rPr>
      <t>)   Date :13.03.2021</t>
    </r>
  </si>
  <si>
    <r>
      <t xml:space="preserve">DLP Materials Received in KMRCL METRO Depot  </t>
    </r>
    <r>
      <rPr>
        <b/>
        <sz val="22"/>
        <color rgb="FFFF0000"/>
        <rFont val="Algerian"/>
        <family val="5"/>
      </rPr>
      <t>(</t>
    </r>
    <r>
      <rPr>
        <b/>
        <sz val="22"/>
        <color theme="1"/>
        <rFont val="Algerian"/>
        <family val="5"/>
      </rPr>
      <t>vcc-River Engineering</t>
    </r>
    <r>
      <rPr>
        <b/>
        <sz val="22"/>
        <color rgb="FFFF0000"/>
        <rFont val="Algerian"/>
        <family val="5"/>
      </rPr>
      <t>)   date :13.03.21</t>
    </r>
  </si>
  <si>
    <r>
      <t xml:space="preserve">DLP Materials Received in KMRCL METRO Depot </t>
    </r>
    <r>
      <rPr>
        <b/>
        <sz val="20"/>
        <color rgb="FFFF0000"/>
        <rFont val="Algerian"/>
        <family val="5"/>
      </rPr>
      <t>(</t>
    </r>
    <r>
      <rPr>
        <b/>
        <sz val="20"/>
        <color theme="1"/>
        <rFont val="Algerian"/>
        <family val="5"/>
      </rPr>
      <t xml:space="preserve"> TRCC-STEMMAN TECHINK </t>
    </r>
    <r>
      <rPr>
        <b/>
        <sz val="20"/>
        <color rgb="FFFF0000"/>
        <rFont val="Algerian"/>
        <family val="5"/>
      </rPr>
      <t>)    Date : 13.03.21</t>
    </r>
  </si>
  <si>
    <t>Avl with BEML as on date 13.03.21</t>
  </si>
  <si>
    <t>COUPLING SYSTEM (FAIVELEY TRANSPORT LIST)</t>
  </si>
  <si>
    <t>19.03.21</t>
  </si>
  <si>
    <t>FT0052881-000</t>
  </si>
  <si>
    <t>SOCKET HEAD SCREW M30*2*180</t>
  </si>
  <si>
    <t>D000285-102</t>
  </si>
  <si>
    <t>WASHER</t>
  </si>
  <si>
    <t>D002030-101</t>
  </si>
  <si>
    <t>NUT. CASTELLATED</t>
  </si>
  <si>
    <t>D001724-101</t>
  </si>
  <si>
    <t>ROLL PIN</t>
  </si>
  <si>
    <t>FT0052720-000</t>
  </si>
  <si>
    <t>PROXYMITY SWITCH WITH CABLE</t>
  </si>
  <si>
    <t>FT0052882-000</t>
  </si>
  <si>
    <t>SHEAR OFF BUSH</t>
  </si>
  <si>
    <t>D225682-100</t>
  </si>
  <si>
    <t>DISC</t>
  </si>
  <si>
    <t>FT0052881-001</t>
  </si>
  <si>
    <t>SOCKET HEAD CAP SCREW M30*2*155</t>
  </si>
  <si>
    <t>FT0052881-002</t>
  </si>
  <si>
    <t>SOCKET HEAD CAP SCREW M30*2*150</t>
  </si>
  <si>
    <t>FT0051665-000</t>
  </si>
  <si>
    <t>DOWEL PIN 6*50(HV) ASSEMBLED WITH MUFF COUPIING</t>
  </si>
  <si>
    <t>FT0052945-100</t>
  </si>
  <si>
    <t>MUFF COUPLING CPL</t>
  </si>
  <si>
    <t>FT0052062-000</t>
  </si>
  <si>
    <t>MP2K GREASE</t>
  </si>
  <si>
    <t>0.06 (KGS)</t>
  </si>
  <si>
    <t>D004202-101</t>
  </si>
  <si>
    <t>O-RING 42.20-3.00</t>
  </si>
  <si>
    <t>D228025-100</t>
  </si>
  <si>
    <t>FLANCE GASKET</t>
  </si>
  <si>
    <t>D002145-101</t>
  </si>
  <si>
    <t>SEALING RING</t>
  </si>
  <si>
    <t>FT0052091-000</t>
  </si>
  <si>
    <t>KORRTECH(1 PCE= 1 LITRE)</t>
  </si>
  <si>
    <t>PAPIS &amp; CCTV SYSTEM (TELEVIC ITEMS LIST)</t>
  </si>
  <si>
    <t>HW LRU KOLKATA TFT DISPLAY 18.5"</t>
  </si>
  <si>
    <t>HW LRU KOLKATA PEAU</t>
  </si>
  <si>
    <t>HW LRU KOLKATA ACP</t>
  </si>
  <si>
    <t>HW LRU KOLKATA CCU</t>
  </si>
  <si>
    <t>HW LRU KOLKATA PIS HMI</t>
  </si>
  <si>
    <t>HW LRU KOLKATA PIS iCOM</t>
  </si>
  <si>
    <t>HW LRU KOLKATA MICROPHONE + PTT</t>
  </si>
  <si>
    <t>HW LRU KOLKATA CAB SPEAKER</t>
  </si>
  <si>
    <t>HW LRU KOLKATA INTERIOR SPEAKER</t>
  </si>
  <si>
    <t>HW LRU KOLKATA EXTERIOR SPEAKER</t>
  </si>
  <si>
    <t>HW LRU KOLKATA PAD PUSH BUTTON</t>
  </si>
  <si>
    <t>HW LRU KOLKATA FRONT LED DISPLAY</t>
  </si>
  <si>
    <t>HW LRU KOLKATA SWITCH 28 PORTS</t>
  </si>
  <si>
    <t>HW LRU KOLKATA SWITCH 16 PORTS</t>
  </si>
  <si>
    <t>HW LRU KOLKATA DIGITAL VIDEO RECORDER</t>
  </si>
  <si>
    <t>INTERIOR LIGHTS (TEKNOWARE ITEMS LIST)</t>
  </si>
  <si>
    <t>TNV8502</t>
  </si>
  <si>
    <t>Saloonlight 110VDC 1302MM</t>
  </si>
  <si>
    <t>TNV8503</t>
  </si>
  <si>
    <t>Saloonlight 110VDC 690MM</t>
  </si>
  <si>
    <t>TLL2754</t>
  </si>
  <si>
    <t>LEDCARD 110 VDC48*0.2W 4000K 12VDC 595MM</t>
  </si>
  <si>
    <t>1000-1353</t>
  </si>
  <si>
    <t>Diffuser TVN8502 1291MM</t>
  </si>
  <si>
    <t>1000-1705</t>
  </si>
  <si>
    <t>Diffuser TVN8503 679MM</t>
  </si>
  <si>
    <t>LL709</t>
  </si>
  <si>
    <t>Connector 5 Pole/ Female</t>
  </si>
  <si>
    <t>LL708</t>
  </si>
  <si>
    <t>Locking Clip for WAGO WINSTA Connector White</t>
  </si>
  <si>
    <t>EXTERIOR LIGHTS (MAFELEC ITEMS LIST)</t>
  </si>
  <si>
    <t>Projector Head Light</t>
  </si>
  <si>
    <t>Projector Clignotant</t>
  </si>
  <si>
    <t>Door Indication Light Inside</t>
  </si>
  <si>
    <t>Door Indication Light Outside</t>
  </si>
  <si>
    <t>M/s PRESSTON (grab handle)</t>
  </si>
  <si>
    <t>Grab handle</t>
  </si>
  <si>
    <t>Grab handle bottom Cap</t>
  </si>
  <si>
    <t>Quantity recomeded by GC/KMRCL</t>
  </si>
  <si>
    <t>3 (one each for three different gauge)</t>
  </si>
  <si>
    <t>CID Board (BECU)</t>
  </si>
  <si>
    <t>DCL</t>
  </si>
  <si>
    <t>LDV</t>
  </si>
  <si>
    <t>Brake Control Unit</t>
  </si>
  <si>
    <t>Brake Pad</t>
  </si>
  <si>
    <t>BECU Rack</t>
  </si>
  <si>
    <t>Pole Wheel (Axle Mounted)</t>
  </si>
  <si>
    <t>Mean Pressure Valve</t>
  </si>
  <si>
    <t>Air Dryer</t>
  </si>
  <si>
    <t>OEM to confirm</t>
  </si>
  <si>
    <t>Buzzer</t>
  </si>
  <si>
    <t>Door Leaf</t>
  </si>
  <si>
    <t>Position Sensor</t>
  </si>
  <si>
    <t>Door Indicator Lamp</t>
  </si>
  <si>
    <t>Push Back Device</t>
  </si>
  <si>
    <t>Locking Lever</t>
  </si>
  <si>
    <t>Door Roller</t>
  </si>
  <si>
    <t>2 set</t>
  </si>
  <si>
    <t>4 set</t>
  </si>
  <si>
    <t>8 set</t>
  </si>
  <si>
    <t>Gas for Compressor</t>
  </si>
  <si>
    <t>Condenser Coil (Saloon)</t>
  </si>
  <si>
    <t>Return Air Filter(Saloon)</t>
  </si>
  <si>
    <t>Temperature Sensor(Saloon)</t>
  </si>
  <si>
    <t>DC-DC Converter(Saloon)</t>
  </si>
  <si>
    <t>Auxiliary Contact of MCB(Saloon)</t>
  </si>
  <si>
    <t>Contactor for Condenser Fan, SAF, Emergency Inverter(Saloon)</t>
  </si>
  <si>
    <t>Compressor (Cab)</t>
  </si>
  <si>
    <t>SAF Motor (Cab)</t>
  </si>
  <si>
    <t>Condenser Coil (Cab)</t>
  </si>
  <si>
    <t>Condenser Fan Assembly (Cab)</t>
  </si>
  <si>
    <t>High Pressure Switch (Cab)</t>
  </si>
  <si>
    <t>2 each</t>
  </si>
  <si>
    <t>OEM to Confirm</t>
  </si>
  <si>
    <t>Gangway Light</t>
  </si>
  <si>
    <t>Cab Light</t>
  </si>
  <si>
    <t>Dimmer Unit</t>
  </si>
  <si>
    <t>Dimmer Sensor</t>
  </si>
  <si>
    <t>Tail Light</t>
  </si>
  <si>
    <t>Flasher Light</t>
  </si>
  <si>
    <t>AAU</t>
  </si>
  <si>
    <t>Saloon Camera</t>
  </si>
  <si>
    <t>DLP Materials Needed for propulsion system</t>
  </si>
  <si>
    <t>Required Qty</t>
  </si>
  <si>
    <t>Traction Motor Complete</t>
  </si>
  <si>
    <t>Traction Inverter Complete</t>
  </si>
  <si>
    <t>SHD</t>
  </si>
  <si>
    <t>STD</t>
  </si>
  <si>
    <t>HMI</t>
  </si>
  <si>
    <t>CCU</t>
  </si>
  <si>
    <t>LHD</t>
  </si>
  <si>
    <t>Connectors</t>
  </si>
  <si>
    <t>Damper</t>
  </si>
  <si>
    <t>Conical Spring</t>
  </si>
  <si>
    <t>Mono link</t>
  </si>
  <si>
    <t xml:space="preserve">Bogie Frame </t>
  </si>
  <si>
    <t>Complete Bogie (M car)</t>
  </si>
  <si>
    <t>Complete Bogie (T car)</t>
  </si>
  <si>
    <t>MRD</t>
  </si>
  <si>
    <t>All different types of relay</t>
  </si>
  <si>
    <t xml:space="preserve">External Camera </t>
  </si>
  <si>
    <t xml:space="preserve">Emergency ladder fasteners set </t>
  </si>
  <si>
    <t xml:space="preserve">2 Ladder set </t>
  </si>
  <si>
    <t>1 Set</t>
  </si>
  <si>
    <t>Loking Hing</t>
  </si>
  <si>
    <t>5 Nos</t>
  </si>
  <si>
    <t xml:space="preserve">Saloon VAC </t>
  </si>
  <si>
    <t>Traction motor connector</t>
  </si>
  <si>
    <t>M99785</t>
  </si>
  <si>
    <t>VVVF power unit</t>
  </si>
  <si>
    <t>DP91415</t>
  </si>
  <si>
    <t>VVVF control unit 1</t>
  </si>
  <si>
    <t>VVVF control unit 2</t>
  </si>
  <si>
    <t>DP78712</t>
  </si>
  <si>
    <t>DP78713</t>
  </si>
  <si>
    <t>VVVF interface unit 1</t>
  </si>
  <si>
    <t>VVVF interface unit 2</t>
  </si>
  <si>
    <t>DP75747</t>
  </si>
  <si>
    <t>DP75748</t>
  </si>
  <si>
    <t>APS Power unit</t>
  </si>
  <si>
    <t>DP86761</t>
  </si>
  <si>
    <t>APS power supply unit</t>
  </si>
  <si>
    <t>Switch gear Unit</t>
  </si>
  <si>
    <t>DP94219</t>
  </si>
  <si>
    <t>DP94220</t>
  </si>
  <si>
    <t>AC control Unit</t>
  </si>
  <si>
    <t xml:space="preserve">Propulsion </t>
  </si>
  <si>
    <t>TCMS</t>
  </si>
  <si>
    <t>Central control unit</t>
  </si>
  <si>
    <t>DP87852</t>
  </si>
  <si>
    <t>DP87858</t>
  </si>
  <si>
    <t>DM Communication node</t>
  </si>
  <si>
    <t>T/M Communication node</t>
  </si>
  <si>
    <t>DP87866</t>
  </si>
  <si>
    <t>DP92387</t>
  </si>
  <si>
    <t>DM Remote I/O unit</t>
  </si>
  <si>
    <t>T/M Remote I/O unit</t>
  </si>
  <si>
    <t>DP92388</t>
  </si>
  <si>
    <t>Video Display unit</t>
  </si>
  <si>
    <t>DP87873</t>
  </si>
  <si>
    <t>DP06188</t>
  </si>
  <si>
    <t>Master controller</t>
  </si>
  <si>
    <t>Unilube No.1 grease</t>
  </si>
  <si>
    <t>PWA2-03-001</t>
  </si>
  <si>
    <t xml:space="preserve"> Qty Available</t>
  </si>
  <si>
    <t>No CHANGES</t>
  </si>
  <si>
    <t>No CHANGE</t>
  </si>
  <si>
    <t>BOGIE</t>
  </si>
  <si>
    <t>FDS</t>
  </si>
  <si>
    <t>VAC</t>
  </si>
  <si>
    <t>AAL</t>
  </si>
  <si>
    <t>PRESSTON</t>
  </si>
  <si>
    <t>Exterior Light</t>
  </si>
  <si>
    <t>vcc-River Engineering</t>
  </si>
  <si>
    <t xml:space="preserve"> KBI  Brake</t>
  </si>
  <si>
    <t>Contract RS(3R)</t>
  </si>
  <si>
    <t>List of Spares (minimum) that will be stocked by the vendors during DLP</t>
  </si>
  <si>
    <t>Sr. No.</t>
  </si>
  <si>
    <t>Description</t>
  </si>
  <si>
    <t>Vendor Part Number</t>
  </si>
  <si>
    <t>Unit*</t>
  </si>
  <si>
    <t>Qty</t>
  </si>
  <si>
    <t xml:space="preserve">Agreed Vendor </t>
  </si>
  <si>
    <t>Received at Depot  as on
31-08-21</t>
  </si>
  <si>
    <t>Consumption during DLP        (TS wise details)</t>
  </si>
  <si>
    <t>Balance available as on
17-11-21</t>
  </si>
  <si>
    <t>Traction Motor</t>
  </si>
  <si>
    <t>MB-5117-A</t>
  </si>
  <si>
    <t xml:space="preserve">Melco  </t>
  </si>
  <si>
    <t>Available</t>
  </si>
  <si>
    <t>Traction Inverter</t>
  </si>
  <si>
    <t>2-1</t>
  </si>
  <si>
    <t xml:space="preserve">Power Unit Complete </t>
  </si>
  <si>
    <t>PWU-017A</t>
  </si>
  <si>
    <t xml:space="preserve">Melco </t>
  </si>
  <si>
    <t>2-2</t>
  </si>
  <si>
    <t>No.1 Gate Circuit unit Complete</t>
  </si>
  <si>
    <t>CONU-049</t>
  </si>
  <si>
    <t>2-3</t>
  </si>
  <si>
    <t>No.2 Gate Circuit unit Complete</t>
  </si>
  <si>
    <t>CONU-050</t>
  </si>
  <si>
    <t>2-4</t>
  </si>
  <si>
    <t>No.1 Interface unit Complete</t>
  </si>
  <si>
    <t>IFU-062</t>
  </si>
  <si>
    <t>2-5</t>
  </si>
  <si>
    <t>No.2 Interface unit Complete</t>
  </si>
  <si>
    <t>IFU-063</t>
  </si>
  <si>
    <t>3</t>
  </si>
  <si>
    <t>Auxiliary Power Supply</t>
  </si>
  <si>
    <t>3-1</t>
  </si>
  <si>
    <t>APS Poer Unit Complete</t>
  </si>
  <si>
    <t>MS-F341A</t>
  </si>
  <si>
    <t>3-2</t>
  </si>
  <si>
    <t>Battery Charger Power Unit Complete</t>
  </si>
  <si>
    <t>MS-F342A</t>
  </si>
  <si>
    <t>3-3</t>
  </si>
  <si>
    <t>Circuit Module</t>
  </si>
  <si>
    <t>MS-2283</t>
  </si>
  <si>
    <t>3-4</t>
  </si>
  <si>
    <t>Gate Power Supply</t>
  </si>
  <si>
    <t>NJD-8916</t>
  </si>
  <si>
    <t>3-5</t>
  </si>
  <si>
    <t>SG Module Complete</t>
  </si>
  <si>
    <t>SGU-032</t>
  </si>
  <si>
    <t>3-6</t>
  </si>
  <si>
    <t>ACC Module Complete</t>
  </si>
  <si>
    <t>ACCU-029</t>
  </si>
  <si>
    <t>4</t>
  </si>
  <si>
    <t>TMS Equipment</t>
  </si>
  <si>
    <t>4-1</t>
  </si>
  <si>
    <t>Central Control Unit (CU)</t>
  </si>
  <si>
    <t>MS-A1945</t>
  </si>
  <si>
    <t>4-2</t>
  </si>
  <si>
    <t>Communication Node1(For DTC)</t>
  </si>
  <si>
    <t>MS-A1946</t>
  </si>
  <si>
    <t>4-3</t>
  </si>
  <si>
    <t>Communication Node2(For MC)</t>
  </si>
  <si>
    <t>MS-A1948</t>
  </si>
  <si>
    <t>4-4</t>
  </si>
  <si>
    <t>Remote I/O Unit(For DTC)</t>
  </si>
  <si>
    <t>MS-A1950</t>
  </si>
  <si>
    <t>4-5</t>
  </si>
  <si>
    <t>Remote I/O Unit(For MC)</t>
  </si>
  <si>
    <t>MS-A1952</t>
  </si>
  <si>
    <t>4-6</t>
  </si>
  <si>
    <t>Interface Unit</t>
  </si>
  <si>
    <t>MS-A1954</t>
  </si>
  <si>
    <t>5</t>
  </si>
  <si>
    <t>Lighting System</t>
  </si>
  <si>
    <t>5.1</t>
  </si>
  <si>
    <t>SALOON LIGHT 110VDC 1302MM</t>
  </si>
  <si>
    <t>TVN8502</t>
  </si>
  <si>
    <t>Tecknoware</t>
  </si>
  <si>
    <t>5.2</t>
  </si>
  <si>
    <t>SALOON LIGHT 110VDC 690MM</t>
  </si>
  <si>
    <t>TVN8503</t>
  </si>
  <si>
    <t>5.3</t>
  </si>
  <si>
    <t>LEDCARD 110VDC 48X0,2W 4000K -NT 12VDC 595MM</t>
  </si>
  <si>
    <t>5.4</t>
  </si>
  <si>
    <t>DIFFUSER TVN8502 1291MM</t>
  </si>
  <si>
    <t>5.5</t>
  </si>
  <si>
    <t>DIFFUSER TVN8503 679MM</t>
  </si>
  <si>
    <t>5.6</t>
  </si>
  <si>
    <t>CONNECTOR 5 POLE/FEMALE</t>
  </si>
  <si>
    <t>5.7</t>
  </si>
  <si>
    <t>LOCKING CLIP FOR WAGO WINSTA CONNECTOR WHITE</t>
  </si>
  <si>
    <t>6</t>
  </si>
  <si>
    <t>Category: Current Collector</t>
  </si>
  <si>
    <t>6.1</t>
  </si>
  <si>
    <t>Third Rail Current Collecto RH</t>
  </si>
  <si>
    <t>Stemmann-Technic</t>
  </si>
  <si>
    <t>6.2</t>
  </si>
  <si>
    <t>Cable current collector fuse box</t>
  </si>
  <si>
    <t>6.3</t>
  </si>
  <si>
    <t>Collector Shoe support RH</t>
  </si>
  <si>
    <t>6.4</t>
  </si>
  <si>
    <t>6.5</t>
  </si>
  <si>
    <t>Third Rail Current Collecto LH</t>
  </si>
  <si>
    <t>6.6</t>
  </si>
  <si>
    <t>Collector Shoe support LH</t>
  </si>
  <si>
    <t>6.7</t>
  </si>
  <si>
    <t>Category: Exterior Lighting</t>
  </si>
  <si>
    <t>7.1</t>
  </si>
  <si>
    <t>Head Light</t>
  </si>
  <si>
    <t>YSP2180</t>
  </si>
  <si>
    <t>Mafelec</t>
  </si>
  <si>
    <t>Shortage material received</t>
  </si>
  <si>
    <t>7.2</t>
  </si>
  <si>
    <t>Marker &amp; Tail Light</t>
  </si>
  <si>
    <t>YSP2181</t>
  </si>
  <si>
    <t>7.3</t>
  </si>
  <si>
    <t>YSP2177</t>
  </si>
  <si>
    <t>7.4</t>
  </si>
  <si>
    <t>DIL outside</t>
  </si>
  <si>
    <t>YSP2178</t>
  </si>
  <si>
    <t>7.5</t>
  </si>
  <si>
    <t>DIL inside</t>
  </si>
  <si>
    <t>YSP2179</t>
  </si>
  <si>
    <t xml:space="preserve">Category: VAC </t>
  </si>
  <si>
    <t>(SALOON)</t>
  </si>
  <si>
    <t>8.1</t>
  </si>
  <si>
    <t>Compressor</t>
  </si>
  <si>
    <t>Faively</t>
  </si>
  <si>
    <t>8.2</t>
  </si>
  <si>
    <t>Vibration dampers for compressors</t>
  </si>
  <si>
    <t>8.3</t>
  </si>
  <si>
    <t>Condenser (LH/RH)</t>
  </si>
  <si>
    <t>FT0053009-102</t>
  </si>
  <si>
    <t>Not Received</t>
  </si>
  <si>
    <t>8.4</t>
  </si>
  <si>
    <t>Condenser Fan assembly</t>
  </si>
  <si>
    <t>Assy</t>
  </si>
  <si>
    <t>8.5</t>
  </si>
  <si>
    <t>Filter dryer DML-085S</t>
  </si>
  <si>
    <t>8.6</t>
  </si>
  <si>
    <t>High pressure switch (22.5/18 bar)</t>
  </si>
  <si>
    <t>8.7</t>
  </si>
  <si>
    <t>High pressure sensor (1~30bar)</t>
  </si>
  <si>
    <t>8.8</t>
  </si>
  <si>
    <t>Low pressure sensor (-1~10bar)</t>
  </si>
  <si>
    <t>8.9</t>
  </si>
  <si>
    <t>8.10</t>
  </si>
  <si>
    <t>Expansion valve - 067N5218</t>
  </si>
  <si>
    <t xml:space="preserve">FT0051792-009 </t>
  </si>
  <si>
    <t>8.11</t>
  </si>
  <si>
    <t>Injection valve JYF-Φ6</t>
  </si>
  <si>
    <t>8.12</t>
  </si>
  <si>
    <t>Solenoid valve in liquid line EVR10 (NC)</t>
  </si>
  <si>
    <t>8.13</t>
  </si>
  <si>
    <t>Coil for solenoid valve</t>
  </si>
  <si>
    <t>8.14</t>
  </si>
  <si>
    <t>Evaporator (LH/RH)</t>
  </si>
  <si>
    <t>FT0053009-104/105</t>
  </si>
  <si>
    <t>8.15</t>
  </si>
  <si>
    <t>Supply air/Blower fan assembly</t>
  </si>
  <si>
    <t>8.16</t>
  </si>
  <si>
    <t>Humidity thermostat HG80</t>
  </si>
  <si>
    <t>8.17</t>
  </si>
  <si>
    <t>NTC type temperature sensor</t>
  </si>
  <si>
    <t>8.18</t>
  </si>
  <si>
    <t>Smoke detector</t>
  </si>
  <si>
    <t>8.19</t>
  </si>
  <si>
    <t>Fresh air filter - G3 / EN779</t>
  </si>
  <si>
    <t>8.20</t>
  </si>
  <si>
    <t>8.21</t>
  </si>
  <si>
    <t>Damper Actuator FA-L-120.1</t>
  </si>
  <si>
    <t>8.22</t>
  </si>
  <si>
    <t>Auxilary Switch + S1A/300</t>
  </si>
  <si>
    <t xml:space="preserve">FT0051797-102 </t>
  </si>
  <si>
    <t>8.23</t>
  </si>
  <si>
    <t>Return air filter</t>
  </si>
  <si>
    <t>8.24</t>
  </si>
  <si>
    <t>8.25</t>
  </si>
  <si>
    <t>Emergency inverter</t>
  </si>
  <si>
    <t>8.26</t>
  </si>
  <si>
    <t>Control panel w/o controller</t>
  </si>
  <si>
    <t>8.27</t>
  </si>
  <si>
    <t>Saloon Kit Parts</t>
  </si>
  <si>
    <t>8.28</t>
  </si>
  <si>
    <t>MPCB - 20Amp-  Compressor</t>
  </si>
  <si>
    <t>8.29</t>
  </si>
  <si>
    <t>MPCB - 4Amp-  Condenser fan</t>
  </si>
  <si>
    <t>8.30</t>
  </si>
  <si>
    <t>MPCB - 4Amp- Supply fan</t>
  </si>
  <si>
    <t>8.31</t>
  </si>
  <si>
    <t>Auxillary for MPCB</t>
  </si>
  <si>
    <t>12.0510.0037</t>
  </si>
  <si>
    <t>8.32</t>
  </si>
  <si>
    <t>MCB (2Pole)-for 110v DC</t>
  </si>
  <si>
    <t>8.33</t>
  </si>
  <si>
    <t>Contactor (Compressor)</t>
  </si>
  <si>
    <t>FT0053013-010</t>
  </si>
  <si>
    <t>8.34</t>
  </si>
  <si>
    <t>Contactor (Condenser fan)</t>
  </si>
  <si>
    <t>8.35</t>
  </si>
  <si>
    <t>Contactor (Supply air fan)</t>
  </si>
  <si>
    <t>8.36</t>
  </si>
  <si>
    <t>Contactor (Emergency Inverter)</t>
  </si>
  <si>
    <t>8.37</t>
  </si>
  <si>
    <t>Auxillary Contactor-SAF(Emergency Inverter)</t>
  </si>
  <si>
    <t>FT0053013-012</t>
  </si>
  <si>
    <t>8.38</t>
  </si>
  <si>
    <t xml:space="preserve">Intermediate relay </t>
  </si>
  <si>
    <t>FT0051800-066</t>
  </si>
  <si>
    <t>8.39</t>
  </si>
  <si>
    <t xml:space="preserve">Controller - FPC24-2 </t>
  </si>
  <si>
    <t>CAB</t>
  </si>
  <si>
    <t>8.40</t>
  </si>
  <si>
    <t>8.41</t>
  </si>
  <si>
    <t xml:space="preserve">Compressors vibration dampers </t>
  </si>
  <si>
    <t>8.42</t>
  </si>
  <si>
    <t>FT0053010-101</t>
  </si>
  <si>
    <t>8.43</t>
  </si>
  <si>
    <t>Filter dryer DML-054S</t>
  </si>
  <si>
    <t>8.44</t>
  </si>
  <si>
    <t>High pressure switch (30/25 bar)</t>
  </si>
  <si>
    <t xml:space="preserve">FT0053039-004 </t>
  </si>
  <si>
    <t>8.45</t>
  </si>
  <si>
    <t>Low pressure switch (1.7~2.5bar)</t>
  </si>
  <si>
    <t>8.46</t>
  </si>
  <si>
    <t>Sight glass SGN 12S</t>
  </si>
  <si>
    <t xml:space="preserve">FT0053039-002 </t>
  </si>
  <si>
    <t>8.47</t>
  </si>
  <si>
    <t xml:space="preserve">Thermal Expansion valve </t>
  </si>
  <si>
    <t>8.48</t>
  </si>
  <si>
    <t>8.49</t>
  </si>
  <si>
    <t xml:space="preserve">Supply Air Fan Assembly </t>
  </si>
  <si>
    <t>FT0053010-105</t>
  </si>
  <si>
    <t>NIL</t>
  </si>
  <si>
    <t>8.50</t>
  </si>
  <si>
    <t>8.51</t>
  </si>
  <si>
    <t>MPCB   Compressor</t>
  </si>
  <si>
    <t>8.52</t>
  </si>
  <si>
    <t>MPCB   Condenser fan</t>
  </si>
  <si>
    <t>FT0053014-012</t>
  </si>
  <si>
    <t>8.53</t>
  </si>
  <si>
    <t>MPCB   Supply fan</t>
  </si>
  <si>
    <t>8.54</t>
  </si>
  <si>
    <t>8.55</t>
  </si>
  <si>
    <t>Contactor(110VDC) (Compressor)</t>
  </si>
  <si>
    <t>8.56</t>
  </si>
  <si>
    <t>Contactor (110VDC)(Condenser fan)</t>
  </si>
  <si>
    <t>FT0053014-010</t>
  </si>
  <si>
    <t>8.57</t>
  </si>
  <si>
    <t>8.58</t>
  </si>
  <si>
    <t>Controller(FPC08)</t>
  </si>
  <si>
    <t>8.59</t>
  </si>
  <si>
    <t>Relay</t>
  </si>
  <si>
    <t>FT0051800-063</t>
  </si>
  <si>
    <t xml:space="preserve">Category: PAPIS &amp; CCTV </t>
  </si>
  <si>
    <t>9.1</t>
  </si>
  <si>
    <t>HW LRU KOLKATA TFT Display 18.5"</t>
  </si>
  <si>
    <t>Televic</t>
  </si>
  <si>
    <t>9.2</t>
  </si>
  <si>
    <t>9.3</t>
  </si>
  <si>
    <t>9.4</t>
  </si>
  <si>
    <t>9.5</t>
  </si>
  <si>
    <t>9.6</t>
  </si>
  <si>
    <t>HW LRU KOLKATA iCom</t>
  </si>
  <si>
    <t>9.7</t>
  </si>
  <si>
    <t>HW LRU KOLKATA MICROPHONE+PTT</t>
  </si>
  <si>
    <t>9.8</t>
  </si>
  <si>
    <t>9.9</t>
  </si>
  <si>
    <t>9.10</t>
  </si>
  <si>
    <t>9.11</t>
  </si>
  <si>
    <t>9.12</t>
  </si>
  <si>
    <t>9.13</t>
  </si>
  <si>
    <t>9.14</t>
  </si>
  <si>
    <t>9.15</t>
  </si>
  <si>
    <t>Category: Saloon door</t>
  </si>
  <si>
    <t>GUIDE RAIL</t>
  </si>
  <si>
    <t>KBI</t>
  </si>
  <si>
    <t>COUNTERSUNK SCREW</t>
  </si>
  <si>
    <t>EMERGENCY DEVICE</t>
  </si>
  <si>
    <t>BODY-FIT BOLT</t>
  </si>
  <si>
    <t>SPRING WASHER</t>
  </si>
  <si>
    <t>HEX-HEAD BOLT</t>
  </si>
  <si>
    <t>EMERGENCY DEVICE/ Cut Out</t>
  </si>
  <si>
    <t>BOWDEN CABLE</t>
  </si>
  <si>
    <t>3T309165R102</t>
  </si>
  <si>
    <t>GUIDERAIL</t>
  </si>
  <si>
    <t>PEDAL</t>
  </si>
  <si>
    <t>DOOR CONTROL UNIT</t>
  </si>
  <si>
    <t>3ED01922R20</t>
  </si>
  <si>
    <t>LIMIT SWITCH</t>
  </si>
  <si>
    <t>GEARED MOTOR</t>
  </si>
  <si>
    <t>SPINDLE</t>
  </si>
  <si>
    <t>3TD04451R07</t>
  </si>
  <si>
    <t>3TD04451R08</t>
  </si>
  <si>
    <t>HINGED NUT</t>
  </si>
  <si>
    <t>3T307361R51</t>
  </si>
  <si>
    <t>3T307361R54 </t>
  </si>
  <si>
    <t>SHAFT NUT</t>
  </si>
  <si>
    <t>UNLOCKING LEVER</t>
  </si>
  <si>
    <t>3TD04012R01</t>
  </si>
  <si>
    <t>TORSION SPRING</t>
  </si>
  <si>
    <t>SECURING CLIP</t>
  </si>
  <si>
    <t>Female Contacts</t>
  </si>
  <si>
    <t>Male Contacts</t>
  </si>
  <si>
    <t>8FN300430R61</t>
  </si>
  <si>
    <t xml:space="preserve">Hardware Kit </t>
  </si>
  <si>
    <t>TBD</t>
  </si>
  <si>
    <t>Category: Brake system</t>
  </si>
  <si>
    <t>AIR FILTER</t>
  </si>
  <si>
    <t>ANTI-SKID VALVE</t>
  </si>
  <si>
    <t>BALLCOCK</t>
  </si>
  <si>
    <t>II50174/1H1RE</t>
  </si>
  <si>
    <t>II53483/1H1E</t>
  </si>
  <si>
    <t>BRAKE CALIP. UNIT</t>
  </si>
  <si>
    <t>CHECK VALVE</t>
  </si>
  <si>
    <t>I12546</t>
  </si>
  <si>
    <t>CIRCUIT BOARD (CAN GATEWAY)</t>
  </si>
  <si>
    <t>STN38950</t>
  </si>
  <si>
    <t>CIRCUIT BOARD (I/O BOARD)</t>
  </si>
  <si>
    <t>CIRCUIT BOARD (SENSOR IN / POWER OUT)</t>
  </si>
  <si>
    <t>COMPRESSOR SET  
(Including Motor 8.000.0.072.757.6)</t>
  </si>
  <si>
    <t>8.120.2.321.081.9</t>
  </si>
  <si>
    <t>CONNECTING CABLE</t>
  </si>
  <si>
    <t>COUNTER-CONNECT.S.</t>
  </si>
  <si>
    <t>STN33642/F008</t>
  </si>
  <si>
    <t>COUNTER-CONNECTOR</t>
  </si>
  <si>
    <t>DISTRIBUTOR VALVE</t>
  </si>
  <si>
    <t>WBSTV200AA009</t>
  </si>
  <si>
    <t>DOUBLE CHECK VALVE</t>
  </si>
  <si>
    <t>DRAIN VALVE</t>
  </si>
  <si>
    <t>DRIV. BRAKE VALVE</t>
  </si>
  <si>
    <t>ELECTROMECHANIC</t>
  </si>
  <si>
    <t>GAUGE</t>
  </si>
  <si>
    <t>HOSE PIPES</t>
  </si>
  <si>
    <t>II44729/06416NQ</t>
  </si>
  <si>
    <t>II44729/06608NQ</t>
  </si>
  <si>
    <t>II44729/10008NN</t>
  </si>
  <si>
    <t>II50223/07025NT</t>
  </si>
  <si>
    <t>IMPULSE VALVE</t>
  </si>
  <si>
    <t>LEVELLING VALVE</t>
  </si>
  <si>
    <t>LINE FILTER</t>
  </si>
  <si>
    <t>MAGNET VALVE</t>
  </si>
  <si>
    <t>MICROMESH OIL FILT</t>
  </si>
  <si>
    <t>OIL SEPARATOR</t>
  </si>
  <si>
    <t>OVERFLOW VALVE</t>
  </si>
  <si>
    <t>PISTON VALVE</t>
  </si>
  <si>
    <t xml:space="preserve">POWER SUPPLY </t>
  </si>
  <si>
    <t>PRECONTROL VALVE</t>
  </si>
  <si>
    <t>PRESS.REDUC.VALVE</t>
  </si>
  <si>
    <t>`1</t>
  </si>
  <si>
    <t>PRESSURE GOVERNOR</t>
  </si>
  <si>
    <t>PRESSURE SENSOR</t>
  </si>
  <si>
    <t>RELAY VALVE</t>
  </si>
  <si>
    <t>REMOTE CONTROL</t>
  </si>
  <si>
    <t>SAFETY VALVE</t>
  </si>
  <si>
    <t>SET OF CONNECTORS</t>
  </si>
  <si>
    <t>SILENCER</t>
  </si>
  <si>
    <t>SLEEVE</t>
  </si>
  <si>
    <t>SOCKET</t>
  </si>
  <si>
    <t>SOCKET CONTACT</t>
  </si>
  <si>
    <t>SPEED SENSOR</t>
  </si>
  <si>
    <t>TEST FITTING</t>
  </si>
  <si>
    <t>THREE-WAY COCK</t>
  </si>
  <si>
    <t>TYFON</t>
  </si>
  <si>
    <t>PRESS. LIMIT VALVE</t>
  </si>
  <si>
    <t>II62590</t>
  </si>
  <si>
    <t>Category: Battery System</t>
  </si>
  <si>
    <t>Cell Blocks (BLOC MRX130-4 +G)</t>
  </si>
  <si>
    <t xml:space="preserve">BLOC MRX130-4 +G </t>
  </si>
  <si>
    <t>SAFT</t>
  </si>
  <si>
    <t>Water circuit Hose (EPDM HOSE 9x14 U E169)</t>
  </si>
  <si>
    <t>EPDM HOSE 9x14 U E169</t>
  </si>
  <si>
    <t>Water circuit Hose (TUBE EPDM 9x14x30)</t>
  </si>
  <si>
    <t xml:space="preserve">TUBE EPDM 9x14x30 </t>
  </si>
  <si>
    <t>Water circuit Hose (TUBE EPDM 9x14x100)</t>
  </si>
  <si>
    <t xml:space="preserve">TUBE EPDM 9x14x100 </t>
  </si>
  <si>
    <t>Water circuit Hose (TUBE EPDM 9x14x280)</t>
  </si>
  <si>
    <t xml:space="preserve">TUBE EPDM 9x14x280 </t>
  </si>
  <si>
    <t>Terminal Cover (TERMINAL COVER 18 ABS 600)</t>
  </si>
  <si>
    <t xml:space="preserve">TERMINAL COVER 18 ABS 600 </t>
  </si>
  <si>
    <t>Terminal Cover (TERMINAL COVER 18 ABS 390)</t>
  </si>
  <si>
    <t xml:space="preserve">TERMINAL COVER 18 ABS 390 </t>
  </si>
  <si>
    <t>Water inlet adopter (HYDRAULIC CONNECTOR)</t>
  </si>
  <si>
    <t xml:space="preserve">HYDRAULIC CONNECTOR </t>
  </si>
  <si>
    <t>Water outlet Adopter (COUPLING W/O SHUTOFF)</t>
  </si>
  <si>
    <t xml:space="preserve">COUPLING W/O SHUTOFF </t>
  </si>
  <si>
    <t>EXTREMITY TERMINAL COVER (EXTREMITY TERMINAL
COVER 70/95 ²)</t>
  </si>
  <si>
    <t xml:space="preserve">EXTREMITY TERMINAL COVER 70/95 ² </t>
  </si>
  <si>
    <t>Category: Coupler</t>
  </si>
  <si>
    <t>Front End Automatic coupler Type SD330 with pneumatic connection cpl</t>
  </si>
  <si>
    <t>FT0052433-A00</t>
  </si>
  <si>
    <t>Socket Head Screw M30 X 2 X 180</t>
  </si>
  <si>
    <t xml:space="preserve">FT0052881-000 </t>
  </si>
  <si>
    <t>Disc 30_200HV</t>
  </si>
  <si>
    <t xml:space="preserve">D000285-102 </t>
  </si>
  <si>
    <t>Castle nut M30 x 2 - 10</t>
  </si>
  <si>
    <t xml:space="preserve">D002030-101 </t>
  </si>
  <si>
    <t>Spring dowel pin 6 x 45 (SS)</t>
  </si>
  <si>
    <t xml:space="preserve">D001724-101 </t>
  </si>
  <si>
    <t>Shear off bush</t>
  </si>
  <si>
    <t xml:space="preserve">FT0052882-000 </t>
  </si>
  <si>
    <t>Washer for shear off bush</t>
  </si>
  <si>
    <t xml:space="preserve">D225682-100 </t>
  </si>
  <si>
    <t>Proxymity switch</t>
  </si>
  <si>
    <t xml:space="preserve">FT0052720-000 </t>
  </si>
  <si>
    <t>Intermediate End Automatic coupler Type SD330 with pneumatic connection cpl.</t>
  </si>
  <si>
    <t>FT0052434-A00</t>
  </si>
  <si>
    <t>Socket head cap screw M30x155x2P</t>
  </si>
  <si>
    <t xml:space="preserve">FT0052881-001 </t>
  </si>
  <si>
    <t>Spring dowel pin 6x50(HV)</t>
  </si>
  <si>
    <t xml:space="preserve">FT0051665-000 </t>
  </si>
  <si>
    <t>Gangway plate</t>
  </si>
  <si>
    <t xml:space="preserve">FT0052966-000 </t>
  </si>
  <si>
    <t>Air connection - BP</t>
  </si>
  <si>
    <t xml:space="preserve">D227927-100 </t>
  </si>
  <si>
    <t>Air connection - MRP/ UL</t>
  </si>
  <si>
    <t xml:space="preserve">D228175-200 </t>
  </si>
  <si>
    <t>Semipermanent coupler half with GH</t>
  </si>
  <si>
    <t xml:space="preserve">FT0052435-A00 </t>
  </si>
  <si>
    <t>Socket Head cap Screw M30 xx150 x 2P</t>
  </si>
  <si>
    <t xml:space="preserve">FT0052881-002 </t>
  </si>
  <si>
    <t>Air coupler cpl.</t>
  </si>
  <si>
    <t xml:space="preserve">FT0052887-100 </t>
  </si>
  <si>
    <t>Semipermanent coupler half (with rigid draw bar)</t>
  </si>
  <si>
    <t xml:space="preserve">FT0052436-A00 </t>
  </si>
  <si>
    <t xml:space="preserve">FT0052887-101 </t>
  </si>
  <si>
    <t>Category: Fire Detection System</t>
  </si>
  <si>
    <t xml:space="preserve">Fire  control unit 
      </t>
  </si>
  <si>
    <t>SEP-0358</t>
  </si>
  <si>
    <t>SEMA</t>
  </si>
  <si>
    <t>DLP not supplied. List to be reviewed</t>
  </si>
  <si>
    <t>14 .2</t>
  </si>
  <si>
    <t>MR-D  Remote redundant card</t>
  </si>
  <si>
    <t>SEP-0355</t>
  </si>
  <si>
    <t>Smoke and Heat  Detectors</t>
  </si>
  <si>
    <t>FCP-OT-320</t>
  </si>
  <si>
    <t>Category: Junction Boxes, OP, Earth bar, Terminal Board</t>
  </si>
  <si>
    <t>River Engineering</t>
  </si>
  <si>
    <t>Junction    box  Low Tension</t>
  </si>
  <si>
    <r>
      <t>M</t>
    </r>
    <r>
      <rPr>
        <sz val="10"/>
        <color theme="1"/>
        <rFont val="Arial"/>
        <family val="2"/>
      </rPr>
      <t xml:space="preserve">S  Connector  Race - MS3474W24-31P                                                                                                      </t>
    </r>
  </si>
  <si>
    <r>
      <t>M</t>
    </r>
    <r>
      <rPr>
        <sz val="10"/>
        <color theme="1"/>
        <rFont val="Arial"/>
        <family val="2"/>
      </rPr>
      <t xml:space="preserve">S  Connector Race - MS34 7 4W24-31  PW                                                                                               </t>
    </r>
  </si>
  <si>
    <t xml:space="preserve">Treminal  Block  - RT8                                                            </t>
  </si>
  <si>
    <t xml:space="preserve">RT8           </t>
  </si>
  <si>
    <t xml:space="preserve">Treminal  Block  - ST6 Twin                                                                                                                        </t>
  </si>
  <si>
    <t xml:space="preserve">ST6 Twin                  </t>
  </si>
  <si>
    <t xml:space="preserve">Treminal  Block  - ST2.5  Twin                                                                                                                 </t>
  </si>
  <si>
    <t xml:space="preserve">ST2.5  Twin         </t>
  </si>
  <si>
    <t xml:space="preserve">Locking  Device  adjustable  grip                                   </t>
  </si>
  <si>
    <t>E3-110-20 with E3-0-30268-02</t>
  </si>
  <si>
    <t>Speed Sensor A type</t>
  </si>
  <si>
    <t xml:space="preserve">MS Connector   Race                                                      </t>
  </si>
  <si>
    <t>Operating Panels</t>
  </si>
  <si>
    <t xml:space="preserve">Switching   Element    704.900.3                                                                                                   </t>
  </si>
  <si>
    <t xml:space="preserve"> 704.900.3           </t>
  </si>
  <si>
    <t>Treminal  Block  - RT9</t>
  </si>
  <si>
    <t>RT9</t>
  </si>
  <si>
    <t>E3-110-20 with E3-0-30268-03</t>
  </si>
  <si>
    <t>Part Number not provided</t>
  </si>
  <si>
    <t>Agreed qty not provided</t>
  </si>
  <si>
    <t>Switching   Element    704.900.4</t>
  </si>
  <si>
    <t xml:space="preserve"> 704.900.4</t>
  </si>
  <si>
    <t>Treminal  Block  - RT10</t>
  </si>
  <si>
    <t>RT10</t>
  </si>
  <si>
    <t>E3-110-20 with E3-0-30268-04</t>
  </si>
  <si>
    <t>Switching   Element    704.900.5</t>
  </si>
  <si>
    <t xml:space="preserve"> 704.900.5</t>
  </si>
  <si>
    <t>Treminal  Block  - RT11</t>
  </si>
  <si>
    <t>RT11</t>
  </si>
  <si>
    <t>Mtr</t>
  </si>
  <si>
    <t>E3-110-20 with E3-0-30268-05</t>
  </si>
  <si>
    <t>Category:  Distribution Board</t>
  </si>
  <si>
    <r>
      <t xml:space="preserve">C195S </t>
    </r>
    <r>
      <rPr>
        <i/>
        <sz val="11"/>
        <color theme="1"/>
        <rFont val="Arial"/>
        <family val="2"/>
      </rPr>
      <t xml:space="preserve">I </t>
    </r>
    <r>
      <rPr>
        <sz val="11"/>
        <color theme="1"/>
        <rFont val="Arial"/>
        <family val="2"/>
      </rPr>
      <t>110ET-U2-004</t>
    </r>
  </si>
  <si>
    <t>Autometers Alliance Ltd</t>
  </si>
  <si>
    <t>Auxiliary Contact</t>
  </si>
  <si>
    <t>MGN26924</t>
  </si>
  <si>
    <t>KH-60500-3P</t>
  </si>
  <si>
    <t>MS3474W20-16S Souriau/Amphenol</t>
  </si>
  <si>
    <t>MS3475W20-16P Souriau/Amphenol</t>
  </si>
  <si>
    <t>INS250 / INS250-3P</t>
  </si>
  <si>
    <t>CORNJ  1J</t>
  </si>
  <si>
    <t>08-U204KL</t>
  </si>
  <si>
    <t>17-4111350DC (Red)</t>
  </si>
  <si>
    <t>Indicator GREEN</t>
  </si>
  <si>
    <t>17-4111351 DC (Green)</t>
  </si>
  <si>
    <t>17-4111352DC (Yellow)</t>
  </si>
  <si>
    <t>Cable Gland +Nut</t>
  </si>
  <si>
    <t>DAPG-21 ML(52015750)</t>
  </si>
  <si>
    <t>DAPG-29 ML(52015760)</t>
  </si>
  <si>
    <t>DAPG-36 ML(52015765)</t>
  </si>
  <si>
    <r>
      <t xml:space="preserve">MCB  </t>
    </r>
    <r>
      <rPr>
        <i/>
        <sz val="11"/>
        <color theme="1"/>
        <rFont val="Arial"/>
        <family val="2"/>
      </rPr>
      <t xml:space="preserve">BOA, </t>
    </r>
    <r>
      <rPr>
        <sz val="11"/>
        <color theme="1"/>
        <rFont val="Arial"/>
        <family val="2"/>
      </rPr>
      <t>3P</t>
    </r>
  </si>
  <si>
    <t>A9N1B512</t>
  </si>
  <si>
    <t>Auxiliary Contact (For BOA MCB)</t>
  </si>
  <si>
    <t>CAD326FD 8207</t>
  </si>
  <si>
    <t>CAD506FD 8207</t>
  </si>
  <si>
    <t>RE22RMYMR</t>
  </si>
  <si>
    <t>LC1DT40A6FD</t>
  </si>
  <si>
    <t>MCB 25A, 1P</t>
  </si>
  <si>
    <t>MGN61835</t>
  </si>
  <si>
    <t>MCB 32A, 3P</t>
  </si>
  <si>
    <t>M9F15332</t>
  </si>
  <si>
    <t>M9011620</t>
  </si>
  <si>
    <t>MCB 3A, 1P</t>
  </si>
  <si>
    <t>Reset Push Button</t>
  </si>
  <si>
    <t>704.012.718 (3a1b,CLEAR)</t>
  </si>
  <si>
    <t>1 No. each</t>
  </si>
  <si>
    <t>Additional requirnment</t>
  </si>
  <si>
    <t>DLP list not available</t>
  </si>
  <si>
    <t>KH-60500-4P</t>
  </si>
  <si>
    <t>CORNJ1F</t>
  </si>
  <si>
    <t>3 (2)</t>
  </si>
  <si>
    <t>Part No Different</t>
  </si>
  <si>
    <t>Shortage Received</t>
  </si>
  <si>
    <t xml:space="preserve"> 5 (4)</t>
  </si>
  <si>
    <t>Connectors and pins</t>
  </si>
  <si>
    <t>External Camera Cab</t>
  </si>
  <si>
    <t>Extarnal camrera Intermediate</t>
  </si>
  <si>
    <t>CCTV HMI</t>
  </si>
  <si>
    <t>Quntity required (as per failure History)</t>
  </si>
  <si>
    <t>This item is mentioned in contract Recored</t>
  </si>
  <si>
    <t>STIMMENN TECKNIK/WABTEC</t>
  </si>
  <si>
    <t>KBI(DOOR)</t>
  </si>
  <si>
    <t>STINGER FEMALE CONNECTOR</t>
  </si>
  <si>
    <t>Jumper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</si>
</sst>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7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돋움"/>
      <charset val="129"/>
    </font>
    <font>
      <strike/>
      <sz val="10"/>
      <color indexed="8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Arial"/>
      <family val="2"/>
    </font>
    <font>
      <strike/>
      <sz val="10"/>
      <name val="Arial"/>
      <family val="2"/>
    </font>
    <font>
      <sz val="10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Algerian"/>
      <family val="5"/>
    </font>
    <font>
      <b/>
      <sz val="22"/>
      <color theme="1"/>
      <name val="Algerian"/>
      <family val="5"/>
    </font>
    <font>
      <b/>
      <sz val="20"/>
      <color theme="1"/>
      <name val="Algerian"/>
      <family val="5"/>
    </font>
    <font>
      <sz val="14"/>
      <color theme="1"/>
      <name val="Algerian"/>
      <family val="5"/>
    </font>
    <font>
      <b/>
      <sz val="14"/>
      <color theme="1"/>
      <name val="Bahnschrift"/>
      <family val="2"/>
    </font>
    <font>
      <b/>
      <sz val="12"/>
      <color theme="1"/>
      <name val="Arial Black"/>
      <family val="2"/>
    </font>
    <font>
      <b/>
      <sz val="12"/>
      <color theme="1"/>
      <name val="Bahnschrift SemiBold Condensed"/>
      <family val="2"/>
    </font>
    <font>
      <b/>
      <sz val="22"/>
      <color rgb="FFFF0000"/>
      <name val="Algerian"/>
      <family val="5"/>
    </font>
    <font>
      <b/>
      <sz val="20"/>
      <color rgb="FFFF0000"/>
      <name val="Algerian"/>
      <family val="5"/>
    </font>
    <font>
      <sz val="12"/>
      <color theme="1"/>
      <name val="Algerian"/>
      <family val="5"/>
    </font>
    <font>
      <b/>
      <sz val="10"/>
      <color rgb="FF7030A0"/>
      <name val="Arial Black"/>
      <family val="2"/>
    </font>
    <font>
      <sz val="12"/>
      <color rgb="FF7030A0"/>
      <name val="Arial"/>
      <family val="2"/>
    </font>
    <font>
      <b/>
      <sz val="12"/>
      <color rgb="FF7030A0"/>
      <name val="Arial"/>
      <family val="2"/>
    </font>
    <font>
      <b/>
      <sz val="12"/>
      <color rgb="FF7030A0"/>
      <name val="Arial Rounded MT Bold"/>
      <family val="2"/>
    </font>
    <font>
      <sz val="12"/>
      <color rgb="FF7030A0"/>
      <name val="Bahnschrift"/>
      <family val="2"/>
    </font>
    <font>
      <b/>
      <sz val="12"/>
      <color rgb="FF7030A0"/>
      <name val="Bahnschrift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theme="1"/>
      <name val="Bahnschrift Light Condensed"/>
      <family val="2"/>
    </font>
    <font>
      <b/>
      <sz val="16"/>
      <color theme="1"/>
      <name val="Bahnschrift Light Condensed"/>
      <family val="2"/>
    </font>
    <font>
      <b/>
      <sz val="11"/>
      <name val="Bahnschrift Light Condensed"/>
      <family val="2"/>
    </font>
    <font>
      <b/>
      <sz val="12"/>
      <color theme="1"/>
      <name val="Bahnschrift Light Condensed"/>
      <family val="2"/>
    </font>
    <font>
      <b/>
      <sz val="12"/>
      <color theme="1"/>
      <name val="Bahnschrift Light"/>
      <family val="2"/>
    </font>
    <font>
      <b/>
      <sz val="10"/>
      <name val="Bahnschrift Light"/>
      <family val="2"/>
    </font>
    <font>
      <sz val="14"/>
      <color theme="1"/>
      <name val="Bahnschrift Light Condensed"/>
      <family val="2"/>
    </font>
    <font>
      <b/>
      <sz val="14"/>
      <name val="Bahnschrift Light Condensed"/>
      <family val="2"/>
    </font>
    <font>
      <b/>
      <sz val="11"/>
      <color theme="1"/>
      <name val="Bahnschrift"/>
      <family val="2"/>
    </font>
    <font>
      <b/>
      <sz val="16"/>
      <color theme="1"/>
      <name val="Bahnschrift"/>
      <family val="2"/>
    </font>
    <font>
      <b/>
      <sz val="18"/>
      <color theme="1"/>
      <name val="Bahnschrift"/>
      <family val="2"/>
    </font>
    <font>
      <b/>
      <sz val="12"/>
      <color theme="1"/>
      <name val="Bahnschrift"/>
      <family val="2"/>
    </font>
    <font>
      <b/>
      <sz val="12"/>
      <color rgb="FFFF0000"/>
      <name val="Bahnschrift Light Condensed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Roboto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20"/>
      <name val="Algerian"/>
      <family val="5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11"/>
      <color theme="1"/>
      <name val="Arial"/>
      <family val="2"/>
    </font>
    <font>
      <sz val="8"/>
      <color theme="1"/>
      <name val="Arial"/>
      <family val="2"/>
    </font>
    <font>
      <sz val="14"/>
      <name val="Calibri"/>
      <family val="2"/>
      <scheme val="minor"/>
    </font>
    <font>
      <sz val="11"/>
      <color rgb="FF04040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A1FBA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8EA9DB"/>
      </left>
      <right/>
      <top/>
      <bottom style="medium">
        <color rgb="FF8EA9DB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7" fillId="0" borderId="0">
      <alignment vertical="center"/>
    </xf>
    <xf numFmtId="0" fontId="67" fillId="0" borderId="0"/>
  </cellStyleXfs>
  <cellXfs count="60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9" fillId="0" borderId="0" xfId="0" applyFo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3" fillId="3" borderId="0" xfId="0" applyFont="1" applyFill="1" applyBorder="1"/>
    <xf numFmtId="0" fontId="11" fillId="3" borderId="0" xfId="0" applyFont="1" applyFill="1" applyBorder="1"/>
    <xf numFmtId="0" fontId="12" fillId="3" borderId="0" xfId="0" applyFont="1" applyFill="1" applyBorder="1"/>
    <xf numFmtId="0" fontId="20" fillId="0" borderId="1" xfId="0" applyFont="1" applyBorder="1"/>
    <xf numFmtId="0" fontId="20" fillId="0" borderId="0" xfId="0" applyFont="1"/>
    <xf numFmtId="0" fontId="20" fillId="0" borderId="1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4" fillId="0" borderId="1" xfId="3" applyFont="1" applyBorder="1">
      <alignment vertical="center"/>
    </xf>
    <xf numFmtId="0" fontId="4" fillId="0" borderId="1" xfId="3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justify" vertical="top" wrapText="1"/>
    </xf>
    <xf numFmtId="0" fontId="14" fillId="3" borderId="1" xfId="0" applyFont="1" applyFill="1" applyBorder="1" applyAlignment="1">
      <alignment vertical="top" wrapText="1"/>
    </xf>
    <xf numFmtId="0" fontId="13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0" fillId="0" borderId="1" xfId="3" applyFont="1" applyBorder="1">
      <alignment vertical="center"/>
    </xf>
    <xf numFmtId="0" fontId="0" fillId="0" borderId="0" xfId="0" applyFont="1"/>
    <xf numFmtId="0" fontId="25" fillId="0" borderId="1" xfId="0" applyFont="1" applyBorder="1" applyAlignment="1">
      <alignment horizontal="justify" vertical="top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justify" vertical="top" wrapText="1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justify" vertical="center" wrapText="1"/>
    </xf>
    <xf numFmtId="0" fontId="26" fillId="0" borderId="1" xfId="0" applyFont="1" applyBorder="1" applyAlignment="1">
      <alignment vertical="top" wrapText="1"/>
    </xf>
    <xf numFmtId="0" fontId="25" fillId="3" borderId="1" xfId="0" applyFont="1" applyFill="1" applyBorder="1" applyAlignment="1">
      <alignment horizontal="justify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3" applyFont="1" applyBorder="1" applyAlignment="1">
      <alignment horizontal="left" vertical="center"/>
    </xf>
    <xf numFmtId="0" fontId="29" fillId="0" borderId="1" xfId="3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3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27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4" fontId="20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0" fillId="0" borderId="0" xfId="0" applyFont="1" applyBorder="1"/>
    <xf numFmtId="0" fontId="0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/>
    <xf numFmtId="0" fontId="15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/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/>
    <xf numFmtId="0" fontId="21" fillId="0" borderId="0" xfId="0" applyFont="1"/>
    <xf numFmtId="0" fontId="21" fillId="0" borderId="1" xfId="0" applyFont="1" applyBorder="1"/>
    <xf numFmtId="0" fontId="30" fillId="0" borderId="1" xfId="0" applyFont="1" applyBorder="1" applyAlignment="1">
      <alignment horizontal="justify" vertical="top" wrapText="1"/>
    </xf>
    <xf numFmtId="0" fontId="27" fillId="0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0" xfId="0" applyFont="1" applyFill="1"/>
    <xf numFmtId="0" fontId="29" fillId="6" borderId="1" xfId="0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left"/>
    </xf>
    <xf numFmtId="0" fontId="35" fillId="0" borderId="0" xfId="0" applyFont="1"/>
    <xf numFmtId="0" fontId="15" fillId="6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49" fontId="15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15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9" fillId="6" borderId="1" xfId="3" applyFont="1" applyFill="1" applyBorder="1" applyAlignment="1">
      <alignment horizontal="left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2" fillId="6" borderId="0" xfId="0" applyFont="1" applyFill="1"/>
    <xf numFmtId="0" fontId="20" fillId="0" borderId="9" xfId="0" applyFont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0" fillId="0" borderId="9" xfId="0" applyBorder="1"/>
    <xf numFmtId="0" fontId="19" fillId="0" borderId="1" xfId="0" applyFont="1" applyBorder="1"/>
    <xf numFmtId="0" fontId="41" fillId="3" borderId="1" xfId="0" applyFont="1" applyFill="1" applyBorder="1"/>
    <xf numFmtId="0" fontId="0" fillId="0" borderId="9" xfId="0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0" borderId="1" xfId="0" applyFont="1" applyBorder="1" applyAlignment="1">
      <alignment horizontal="center"/>
    </xf>
    <xf numFmtId="0" fontId="0" fillId="6" borderId="0" xfId="0" applyFill="1"/>
    <xf numFmtId="0" fontId="18" fillId="6" borderId="0" xfId="0" applyFont="1" applyFill="1" applyBorder="1" applyAlignment="1">
      <alignment horizontal="center"/>
    </xf>
    <xf numFmtId="0" fontId="18" fillId="6" borderId="0" xfId="0" applyFont="1" applyFill="1" applyBorder="1" applyAlignment="1"/>
    <xf numFmtId="0" fontId="18" fillId="6" borderId="0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1" xfId="3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12" fillId="9" borderId="1" xfId="0" applyFont="1" applyFill="1" applyBorder="1"/>
    <xf numFmtId="0" fontId="12" fillId="9" borderId="0" xfId="0" applyFont="1" applyFill="1"/>
    <xf numFmtId="0" fontId="43" fillId="0" borderId="0" xfId="0" applyFont="1" applyAlignment="1">
      <alignment horizontal="center" vertical="center"/>
    </xf>
    <xf numFmtId="0" fontId="43" fillId="0" borderId="0" xfId="0" applyFont="1"/>
    <xf numFmtId="0" fontId="20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vertical="top" wrapText="1"/>
    </xf>
    <xf numFmtId="0" fontId="20" fillId="0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justify" vertical="top" wrapText="1"/>
    </xf>
    <xf numFmtId="0" fontId="26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justify" vertical="top" wrapText="1"/>
    </xf>
    <xf numFmtId="0" fontId="0" fillId="3" borderId="8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justify" vertical="top" wrapText="1"/>
    </xf>
    <xf numFmtId="0" fontId="26" fillId="0" borderId="14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0" xfId="0" applyFill="1"/>
    <xf numFmtId="0" fontId="12" fillId="0" borderId="0" xfId="0" applyFont="1" applyFill="1"/>
    <xf numFmtId="0" fontId="15" fillId="6" borderId="1" xfId="0" applyFont="1" applyFill="1" applyBorder="1" applyAlignment="1">
      <alignment horizontal="center" vertical="top" wrapText="1"/>
    </xf>
    <xf numFmtId="0" fontId="12" fillId="3" borderId="0" xfId="0" applyFont="1" applyFill="1" applyAlignment="1">
      <alignment horizontal="left"/>
    </xf>
    <xf numFmtId="0" fontId="32" fillId="12" borderId="2" xfId="0" applyFont="1" applyFill="1" applyBorder="1" applyAlignment="1">
      <alignment vertical="center" wrapText="1"/>
    </xf>
    <xf numFmtId="0" fontId="32" fillId="12" borderId="6" xfId="0" applyFont="1" applyFill="1" applyBorder="1" applyAlignment="1">
      <alignment vertical="center" wrapText="1"/>
    </xf>
    <xf numFmtId="0" fontId="32" fillId="12" borderId="4" xfId="0" applyFont="1" applyFill="1" applyBorder="1" applyAlignment="1">
      <alignment vertical="center" wrapText="1"/>
    </xf>
    <xf numFmtId="0" fontId="32" fillId="12" borderId="0" xfId="0" applyFont="1" applyFill="1" applyBorder="1" applyAlignment="1">
      <alignment vertical="center" wrapText="1"/>
    </xf>
    <xf numFmtId="0" fontId="0" fillId="12" borderId="0" xfId="0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7" fillId="2" borderId="1" xfId="1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61" fillId="2" borderId="6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20" fillId="11" borderId="1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38" fillId="9" borderId="1" xfId="0" applyFont="1" applyFill="1" applyBorder="1" applyAlignment="1">
      <alignment horizontal="center" vertical="center" wrapText="1"/>
    </xf>
    <xf numFmtId="0" fontId="53" fillId="9" borderId="3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26" fillId="3" borderId="1" xfId="0" applyFont="1" applyFill="1" applyBorder="1" applyAlignment="1">
      <alignment horizontal="justify" vertical="top" wrapText="1"/>
    </xf>
    <xf numFmtId="0" fontId="0" fillId="11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left" vertical="top" wrapText="1"/>
    </xf>
    <xf numFmtId="0" fontId="0" fillId="9" borderId="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30" fillId="6" borderId="5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/>
    <xf numFmtId="0" fontId="0" fillId="6" borderId="7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left" vertical="top" wrapText="1"/>
    </xf>
    <xf numFmtId="0" fontId="0" fillId="10" borderId="1" xfId="0" applyFont="1" applyFill="1" applyBorder="1" applyAlignment="1">
      <alignment horizontal="center" vertical="center"/>
    </xf>
    <xf numFmtId="0" fontId="48" fillId="2" borderId="8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53" fillId="9" borderId="6" xfId="0" applyFont="1" applyFill="1" applyBorder="1" applyAlignment="1">
      <alignment horizontal="center" vertical="center" wrapText="1"/>
    </xf>
    <xf numFmtId="0" fontId="62" fillId="9" borderId="3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/>
    </xf>
    <xf numFmtId="0" fontId="48" fillId="9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2" borderId="6" xfId="0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ont="1" applyBorder="1" applyAlignment="1">
      <alignment horizontal="center" vertical="center"/>
    </xf>
    <xf numFmtId="0" fontId="0" fillId="3" borderId="1" xfId="0" applyFill="1" applyBorder="1"/>
    <xf numFmtId="0" fontId="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Font="1" applyFill="1" applyBorder="1"/>
    <xf numFmtId="0" fontId="0" fillId="0" borderId="2" xfId="0" applyFont="1" applyBorder="1"/>
    <xf numFmtId="0" fontId="15" fillId="0" borderId="2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5" fillId="3" borderId="1" xfId="0" applyFont="1" applyFill="1" applyBorder="1" applyAlignment="1">
      <alignment horizontal="justify" vertical="center" wrapText="1"/>
    </xf>
    <xf numFmtId="0" fontId="0" fillId="3" borderId="8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4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6" xfId="0" applyFont="1" applyFill="1" applyBorder="1"/>
    <xf numFmtId="0" fontId="0" fillId="6" borderId="0" xfId="0" applyFont="1" applyFill="1" applyAlignment="1">
      <alignment horizontal="center"/>
    </xf>
    <xf numFmtId="0" fontId="12" fillId="6" borderId="1" xfId="3" applyFont="1" applyFill="1" applyBorder="1" applyAlignment="1">
      <alignment horizontal="center" vertical="center" wrapText="1"/>
    </xf>
    <xf numFmtId="0" fontId="19" fillId="6" borderId="1" xfId="0" applyFont="1" applyFill="1" applyBorder="1"/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65" fillId="0" borderId="2" xfId="0" applyFont="1" applyBorder="1" applyAlignment="1">
      <alignment horizontal="center" wrapText="1"/>
    </xf>
    <xf numFmtId="0" fontId="65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66" fillId="16" borderId="17" xfId="0" applyFont="1" applyFill="1" applyBorder="1" applyAlignment="1">
      <alignment horizontal="center" vertical="center"/>
    </xf>
    <xf numFmtId="0" fontId="66" fillId="17" borderId="17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6" fillId="4" borderId="1" xfId="0" applyFont="1" applyFill="1" applyBorder="1" applyAlignment="1">
      <alignment horizontal="center" wrapText="1"/>
    </xf>
    <xf numFmtId="0" fontId="20" fillId="0" borderId="1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0" fillId="2" borderId="15" xfId="0" applyFont="1" applyFill="1" applyBorder="1" applyAlignment="1">
      <alignment horizontal="center" vertical="center" wrapText="1"/>
    </xf>
    <xf numFmtId="0" fontId="50" fillId="2" borderId="13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/>
    </xf>
    <xf numFmtId="0" fontId="50" fillId="2" borderId="3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wrapText="1"/>
    </xf>
    <xf numFmtId="0" fontId="34" fillId="5" borderId="8" xfId="0" applyFont="1" applyFill="1" applyBorder="1" applyAlignment="1">
      <alignment horizontal="center" vertical="center"/>
    </xf>
    <xf numFmtId="0" fontId="34" fillId="5" borderId="12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 wrapText="1"/>
    </xf>
    <xf numFmtId="0" fontId="59" fillId="2" borderId="2" xfId="0" applyFont="1" applyFill="1" applyBorder="1" applyAlignment="1">
      <alignment horizontal="center" vertical="center" wrapText="1"/>
    </xf>
    <xf numFmtId="0" fontId="59" fillId="2" borderId="3" xfId="0" applyFont="1" applyFill="1" applyBorder="1" applyAlignment="1">
      <alignment horizontal="center" vertical="center" wrapText="1"/>
    </xf>
    <xf numFmtId="0" fontId="60" fillId="2" borderId="2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 vertical="center"/>
    </xf>
    <xf numFmtId="0" fontId="61" fillId="2" borderId="2" xfId="0" applyFont="1" applyFill="1" applyBorder="1" applyAlignment="1">
      <alignment horizontal="center" vertical="center"/>
    </xf>
    <xf numFmtId="0" fontId="61" fillId="2" borderId="3" xfId="0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 wrapText="1"/>
    </xf>
    <xf numFmtId="0" fontId="53" fillId="2" borderId="3" xfId="0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36" fillId="2" borderId="12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3" fillId="6" borderId="2" xfId="0" applyFont="1" applyFill="1" applyBorder="1" applyAlignment="1">
      <alignment horizontal="center" vertical="center" wrapText="1"/>
    </xf>
    <xf numFmtId="0" fontId="53" fillId="6" borderId="3" xfId="0" applyFont="1" applyFill="1" applyBorder="1" applyAlignment="1">
      <alignment horizontal="center" vertical="center" wrapText="1"/>
    </xf>
    <xf numFmtId="0" fontId="50" fillId="8" borderId="14" xfId="0" applyFont="1" applyFill="1" applyBorder="1" applyAlignment="1">
      <alignment horizontal="center" vertical="center" wrapText="1"/>
    </xf>
    <xf numFmtId="0" fontId="50" fillId="8" borderId="16" xfId="0" applyFont="1" applyFill="1" applyBorder="1" applyAlignment="1">
      <alignment horizontal="center" vertical="center" wrapText="1"/>
    </xf>
    <xf numFmtId="0" fontId="50" fillId="8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4" fillId="14" borderId="1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2" fillId="2" borderId="1" xfId="1" applyFont="1" applyFill="1" applyBorder="1" applyAlignment="1">
      <alignment horizontal="center" vertical="center" wrapText="1"/>
    </xf>
    <xf numFmtId="0" fontId="63" fillId="14" borderId="11" xfId="0" applyFont="1" applyFill="1" applyBorder="1" applyAlignment="1">
      <alignment horizontal="center" vertical="center"/>
    </xf>
    <xf numFmtId="0" fontId="63" fillId="14" borderId="1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3" fillId="15" borderId="11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2" fillId="2" borderId="2" xfId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6" fillId="4" borderId="2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0" fontId="37" fillId="6" borderId="15" xfId="0" applyFont="1" applyFill="1" applyBorder="1" applyAlignment="1">
      <alignment horizontal="center" vertical="center" wrapText="1"/>
    </xf>
    <xf numFmtId="0" fontId="37" fillId="6" borderId="4" xfId="0" applyFont="1" applyFill="1" applyBorder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 wrapText="1"/>
    </xf>
    <xf numFmtId="0" fontId="38" fillId="9" borderId="8" xfId="0" applyFont="1" applyFill="1" applyBorder="1" applyAlignment="1">
      <alignment horizontal="center" vertical="center" wrapText="1"/>
    </xf>
    <xf numFmtId="0" fontId="38" fillId="9" borderId="12" xfId="0" applyFont="1" applyFill="1" applyBorder="1" applyAlignment="1">
      <alignment horizontal="center" vertical="center" wrapText="1"/>
    </xf>
    <xf numFmtId="0" fontId="38" fillId="9" borderId="9" xfId="0" applyFont="1" applyFill="1" applyBorder="1" applyAlignment="1">
      <alignment horizontal="center" vertical="center" wrapText="1"/>
    </xf>
    <xf numFmtId="0" fontId="48" fillId="4" borderId="4" xfId="0" applyFont="1" applyFill="1" applyBorder="1" applyAlignment="1">
      <alignment horizontal="center" vertical="center" wrapText="1"/>
    </xf>
    <xf numFmtId="0" fontId="48" fillId="2" borderId="8" xfId="0" applyFont="1" applyFill="1" applyBorder="1" applyAlignment="1">
      <alignment horizontal="center" vertical="center" wrapText="1"/>
    </xf>
    <xf numFmtId="0" fontId="48" fillId="2" borderId="12" xfId="0" applyFont="1" applyFill="1" applyBorder="1" applyAlignment="1">
      <alignment horizontal="center" vertical="center" wrapText="1"/>
    </xf>
    <xf numFmtId="0" fontId="48" fillId="2" borderId="9" xfId="0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 wrapText="1"/>
    </xf>
    <xf numFmtId="0" fontId="34" fillId="5" borderId="0" xfId="0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2" fillId="7" borderId="2" xfId="1" applyFont="1" applyFill="1" applyBorder="1" applyAlignment="1">
      <alignment horizontal="center" vertical="center" wrapText="1"/>
    </xf>
    <xf numFmtId="0" fontId="52" fillId="7" borderId="3" xfId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wrapText="1"/>
    </xf>
    <xf numFmtId="0" fontId="50" fillId="2" borderId="9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33" fillId="5" borderId="11" xfId="0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5" fillId="2" borderId="1" xfId="1" applyFont="1" applyFill="1" applyBorder="1" applyAlignment="1">
      <alignment horizontal="center" vertical="center" wrapText="1"/>
    </xf>
    <xf numFmtId="0" fontId="55" fillId="2" borderId="2" xfId="1" applyFont="1" applyFill="1" applyBorder="1" applyAlignment="1">
      <alignment horizontal="center" vertical="center" wrapText="1"/>
    </xf>
    <xf numFmtId="0" fontId="55" fillId="2" borderId="3" xfId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 wrapText="1"/>
    </xf>
    <xf numFmtId="0" fontId="54" fillId="2" borderId="3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 wrapText="1"/>
    </xf>
    <xf numFmtId="0" fontId="36" fillId="2" borderId="15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36" fillId="2" borderId="13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8" fillId="0" borderId="0" xfId="0" applyFont="1"/>
    <xf numFmtId="0" fontId="70" fillId="3" borderId="0" xfId="0" applyFont="1" applyFill="1" applyBorder="1" applyAlignment="1">
      <alignment vertical="center"/>
    </xf>
    <xf numFmtId="0" fontId="71" fillId="3" borderId="0" xfId="4" applyFont="1" applyFill="1" applyAlignment="1">
      <alignment horizontal="center"/>
    </xf>
    <xf numFmtId="0" fontId="67" fillId="3" borderId="1" xfId="4" applyFill="1" applyBorder="1"/>
    <xf numFmtId="0" fontId="67" fillId="3" borderId="0" xfId="4" applyFill="1"/>
    <xf numFmtId="0" fontId="3" fillId="3" borderId="11" xfId="4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 wrapText="1"/>
    </xf>
    <xf numFmtId="0" fontId="3" fillId="3" borderId="2" xfId="4" applyFont="1" applyFill="1" applyBorder="1" applyAlignment="1">
      <alignment horizontal="center" vertical="center" wrapText="1"/>
    </xf>
    <xf numFmtId="0" fontId="3" fillId="3" borderId="14" xfId="4" applyFont="1" applyFill="1" applyBorder="1" applyAlignment="1">
      <alignment horizontal="center" vertical="center" wrapText="1"/>
    </xf>
    <xf numFmtId="0" fontId="24" fillId="3" borderId="1" xfId="4" applyFont="1" applyFill="1" applyBorder="1" applyAlignment="1">
      <alignment horizontal="center" vertical="center"/>
    </xf>
    <xf numFmtId="0" fontId="67" fillId="3" borderId="0" xfId="4" applyFill="1" applyAlignment="1">
      <alignment vertical="center"/>
    </xf>
    <xf numFmtId="0" fontId="3" fillId="3" borderId="6" xfId="4" applyFont="1" applyFill="1" applyBorder="1" applyAlignment="1">
      <alignment horizontal="center" vertical="center" wrapText="1"/>
    </xf>
    <xf numFmtId="0" fontId="3" fillId="3" borderId="18" xfId="4" applyFont="1" applyFill="1" applyBorder="1" applyAlignment="1">
      <alignment horizontal="center" vertical="center" wrapText="1"/>
    </xf>
    <xf numFmtId="0" fontId="3" fillId="3" borderId="3" xfId="4" applyFont="1" applyFill="1" applyBorder="1" applyAlignment="1">
      <alignment horizontal="center" vertical="center" wrapText="1"/>
    </xf>
    <xf numFmtId="0" fontId="3" fillId="3" borderId="10" xfId="4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center" vertical="top" wrapText="1"/>
    </xf>
    <xf numFmtId="0" fontId="3" fillId="3" borderId="8" xfId="4" applyFont="1" applyFill="1" applyBorder="1" applyAlignment="1">
      <alignment vertical="top" wrapText="1"/>
    </xf>
    <xf numFmtId="0" fontId="26" fillId="3" borderId="0" xfId="4" applyFont="1" applyFill="1" applyAlignment="1">
      <alignment horizontal="center"/>
    </xf>
    <xf numFmtId="0" fontId="3" fillId="3" borderId="12" xfId="4" applyFont="1" applyFill="1" applyBorder="1" applyAlignment="1">
      <alignment vertical="top" wrapText="1"/>
    </xf>
    <xf numFmtId="0" fontId="26" fillId="3" borderId="1" xfId="4" applyFont="1" applyFill="1" applyBorder="1"/>
    <xf numFmtId="0" fontId="26" fillId="3" borderId="8" xfId="4" applyFont="1" applyFill="1" applyBorder="1"/>
    <xf numFmtId="49" fontId="1" fillId="3" borderId="1" xfId="4" applyNumberFormat="1" applyFont="1" applyFill="1" applyBorder="1" applyAlignment="1">
      <alignment horizontal="center" vertical="top" wrapText="1"/>
    </xf>
    <xf numFmtId="0" fontId="1" fillId="3" borderId="1" xfId="4" applyFont="1" applyFill="1" applyBorder="1" applyAlignment="1">
      <alignment horizontal="justify" vertical="top" wrapText="1"/>
    </xf>
    <xf numFmtId="0" fontId="26" fillId="3" borderId="1" xfId="0" applyFont="1" applyFill="1" applyBorder="1" applyAlignment="1">
      <alignment horizontal="center"/>
    </xf>
    <xf numFmtId="0" fontId="1" fillId="3" borderId="1" xfId="4" applyFont="1" applyFill="1" applyBorder="1" applyAlignment="1">
      <alignment horizontal="center" vertical="top" wrapText="1"/>
    </xf>
    <xf numFmtId="0" fontId="26" fillId="3" borderId="1" xfId="4" applyFont="1" applyFill="1" applyBorder="1" applyAlignment="1">
      <alignment horizontal="center"/>
    </xf>
    <xf numFmtId="0" fontId="26" fillId="3" borderId="8" xfId="4" applyFont="1" applyFill="1" applyBorder="1" applyAlignment="1">
      <alignment horizontal="center"/>
    </xf>
    <xf numFmtId="0" fontId="1" fillId="3" borderId="8" xfId="4" applyFont="1" applyFill="1" applyBorder="1" applyAlignment="1">
      <alignment horizontal="center" vertical="top" wrapText="1"/>
    </xf>
    <xf numFmtId="0" fontId="1" fillId="3" borderId="12" xfId="4" applyFont="1" applyFill="1" applyBorder="1" applyAlignment="1">
      <alignment horizontal="center" vertical="top" wrapText="1"/>
    </xf>
    <xf numFmtId="0" fontId="3" fillId="3" borderId="1" xfId="4" applyFont="1" applyFill="1" applyBorder="1" applyAlignment="1">
      <alignment horizontal="justify" vertical="top" wrapText="1"/>
    </xf>
    <xf numFmtId="0" fontId="26" fillId="3" borderId="0" xfId="0" applyFont="1" applyFill="1" applyAlignment="1">
      <alignment horizontal="center"/>
    </xf>
    <xf numFmtId="0" fontId="1" fillId="3" borderId="2" xfId="4" applyFont="1" applyFill="1" applyBorder="1" applyAlignment="1">
      <alignment horizontal="center" vertical="center" wrapText="1"/>
    </xf>
    <xf numFmtId="0" fontId="26" fillId="3" borderId="2" xfId="4" applyFont="1" applyFill="1" applyBorder="1" applyAlignment="1">
      <alignment horizontal="center" vertical="center" wrapText="1"/>
    </xf>
    <xf numFmtId="0" fontId="1" fillId="3" borderId="6" xfId="4" applyFont="1" applyFill="1" applyBorder="1" applyAlignment="1">
      <alignment horizontal="center" vertical="center" wrapText="1"/>
    </xf>
    <xf numFmtId="0" fontId="26" fillId="3" borderId="6" xfId="4" applyFont="1" applyFill="1" applyBorder="1" applyAlignment="1">
      <alignment horizontal="center" vertical="center" wrapText="1"/>
    </xf>
    <xf numFmtId="0" fontId="1" fillId="3" borderId="3" xfId="4" applyFont="1" applyFill="1" applyBorder="1" applyAlignment="1">
      <alignment horizontal="center" vertical="center" wrapText="1"/>
    </xf>
    <xf numFmtId="49" fontId="1" fillId="3" borderId="8" xfId="4" applyNumberFormat="1" applyFont="1" applyFill="1" applyBorder="1" applyAlignment="1">
      <alignment horizontal="center" vertical="top" wrapText="1"/>
    </xf>
    <xf numFmtId="49" fontId="1" fillId="3" borderId="12" xfId="4" applyNumberFormat="1" applyFont="1" applyFill="1" applyBorder="1" applyAlignment="1">
      <alignment horizontal="center" vertical="top" wrapText="1"/>
    </xf>
    <xf numFmtId="49" fontId="3" fillId="3" borderId="1" xfId="4" applyNumberFormat="1" applyFont="1" applyFill="1" applyBorder="1" applyAlignment="1">
      <alignment horizontal="center" vertical="top" wrapText="1"/>
    </xf>
    <xf numFmtId="0" fontId="3" fillId="3" borderId="12" xfId="4" applyFont="1" applyFill="1" applyBorder="1" applyAlignment="1">
      <alignment horizontal="center" vertical="top" wrapText="1"/>
    </xf>
    <xf numFmtId="0" fontId="1" fillId="3" borderId="9" xfId="4" applyFont="1" applyFill="1" applyBorder="1" applyAlignment="1">
      <alignment horizontal="center" vertical="top" wrapText="1"/>
    </xf>
    <xf numFmtId="49" fontId="1" fillId="3" borderId="1" xfId="4" applyNumberFormat="1" applyFont="1" applyFill="1" applyBorder="1" applyAlignment="1">
      <alignment horizontal="center" vertical="top" wrapText="1"/>
    </xf>
    <xf numFmtId="0" fontId="3" fillId="3" borderId="0" xfId="4" applyFont="1" applyFill="1" applyAlignment="1">
      <alignment vertical="top" wrapText="1"/>
    </xf>
    <xf numFmtId="0" fontId="3" fillId="3" borderId="0" xfId="4" applyFont="1" applyFill="1" applyAlignment="1">
      <alignment horizontal="center" vertical="top" wrapText="1"/>
    </xf>
    <xf numFmtId="0" fontId="26" fillId="3" borderId="0" xfId="4" applyFont="1" applyFill="1"/>
    <xf numFmtId="0" fontId="1" fillId="3" borderId="9" xfId="4" applyFont="1" applyFill="1" applyBorder="1" applyAlignment="1">
      <alignment vertical="top" wrapText="1"/>
    </xf>
    <xf numFmtId="0" fontId="1" fillId="3" borderId="1" xfId="4" applyFont="1" applyFill="1" applyBorder="1" applyAlignment="1">
      <alignment vertical="top" wrapText="1"/>
    </xf>
    <xf numFmtId="0" fontId="26" fillId="3" borderId="1" xfId="4" applyFont="1" applyFill="1" applyBorder="1" applyAlignment="1">
      <alignment horizontal="center" wrapText="1"/>
    </xf>
    <xf numFmtId="0" fontId="67" fillId="3" borderId="1" xfId="4" applyFill="1" applyBorder="1" applyAlignment="1">
      <alignment horizontal="center" vertical="center"/>
    </xf>
    <xf numFmtId="49" fontId="3" fillId="3" borderId="1" xfId="4" applyNumberFormat="1" applyFont="1" applyFill="1" applyBorder="1" applyAlignment="1">
      <alignment horizontal="center" vertical="top" wrapText="1"/>
    </xf>
    <xf numFmtId="49" fontId="3" fillId="3" borderId="8" xfId="4" applyNumberFormat="1" applyFont="1" applyFill="1" applyBorder="1" applyAlignment="1">
      <alignment horizontal="center" vertical="top" wrapText="1"/>
    </xf>
    <xf numFmtId="0" fontId="1" fillId="3" borderId="14" xfId="4" applyFont="1" applyFill="1" applyBorder="1" applyAlignment="1">
      <alignment horizontal="center" vertical="center" wrapText="1"/>
    </xf>
    <xf numFmtId="0" fontId="26" fillId="3" borderId="9" xfId="4" applyFont="1" applyFill="1" applyBorder="1"/>
    <xf numFmtId="0" fontId="1" fillId="3" borderId="18" xfId="4" applyFont="1" applyFill="1" applyBorder="1" applyAlignment="1">
      <alignment horizontal="center" vertical="center" wrapText="1"/>
    </xf>
    <xf numFmtId="0" fontId="72" fillId="3" borderId="1" xfId="4" applyFont="1" applyFill="1" applyBorder="1" applyAlignment="1">
      <alignment horizontal="justify" vertical="top" wrapText="1"/>
    </xf>
    <xf numFmtId="0" fontId="72" fillId="3" borderId="1" xfId="4" applyFont="1" applyFill="1" applyBorder="1" applyAlignment="1">
      <alignment horizontal="center" vertical="top" wrapText="1"/>
    </xf>
    <xf numFmtId="0" fontId="72" fillId="3" borderId="1" xfId="4" applyFont="1" applyFill="1" applyBorder="1" applyAlignment="1">
      <alignment vertical="top" wrapText="1"/>
    </xf>
    <xf numFmtId="0" fontId="72" fillId="3" borderId="1" xfId="4" applyFont="1" applyFill="1" applyBorder="1" applyAlignment="1">
      <alignment wrapText="1"/>
    </xf>
    <xf numFmtId="0" fontId="1" fillId="3" borderId="10" xfId="4" applyFont="1" applyFill="1" applyBorder="1" applyAlignment="1">
      <alignment horizontal="center" vertical="center" wrapText="1"/>
    </xf>
    <xf numFmtId="0" fontId="26" fillId="3" borderId="9" xfId="4" applyFont="1" applyFill="1" applyBorder="1" applyAlignment="1">
      <alignment horizontal="center"/>
    </xf>
    <xf numFmtId="0" fontId="26" fillId="3" borderId="18" xfId="4" applyFont="1" applyFill="1" applyBorder="1"/>
    <xf numFmtId="0" fontId="73" fillId="3" borderId="11" xfId="4" applyFont="1" applyFill="1" applyBorder="1" applyAlignment="1">
      <alignment horizontal="justify" vertical="top" wrapText="1"/>
    </xf>
    <xf numFmtId="0" fontId="26" fillId="3" borderId="0" xfId="0" applyFont="1" applyFill="1" applyAlignment="1">
      <alignment horizontal="center" vertical="center" wrapText="1"/>
    </xf>
    <xf numFmtId="0" fontId="72" fillId="3" borderId="12" xfId="4" applyFont="1" applyFill="1" applyBorder="1" applyAlignment="1">
      <alignment horizontal="center" vertical="top" wrapText="1"/>
    </xf>
    <xf numFmtId="0" fontId="1" fillId="3" borderId="12" xfId="4" applyFont="1" applyFill="1" applyBorder="1" applyAlignment="1">
      <alignment horizontal="center" vertical="top" wrapText="1"/>
    </xf>
    <xf numFmtId="0" fontId="1" fillId="3" borderId="11" xfId="4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1" fillId="3" borderId="8" xfId="4" applyFont="1" applyFill="1" applyBorder="1" applyAlignment="1">
      <alignment horizontal="center" vertical="center" wrapText="1"/>
    </xf>
    <xf numFmtId="49" fontId="1" fillId="3" borderId="8" xfId="4" applyNumberFormat="1" applyFont="1" applyFill="1" applyBorder="1" applyAlignment="1">
      <alignment horizontal="center" vertical="top" wrapText="1"/>
    </xf>
    <xf numFmtId="0" fontId="72" fillId="3" borderId="11" xfId="4" applyFont="1" applyFill="1" applyBorder="1" applyAlignment="1">
      <alignment horizontal="center" vertical="top" wrapText="1"/>
    </xf>
    <xf numFmtId="0" fontId="1" fillId="3" borderId="11" xfId="4" applyFont="1" applyFill="1" applyBorder="1" applyAlignment="1">
      <alignment horizontal="center" vertical="top" wrapText="1"/>
    </xf>
    <xf numFmtId="0" fontId="26" fillId="3" borderId="14" xfId="4" applyFont="1" applyFill="1" applyBorder="1" applyAlignment="1">
      <alignment horizontal="center" vertical="center"/>
    </xf>
    <xf numFmtId="0" fontId="26" fillId="3" borderId="18" xfId="4" applyFont="1" applyFill="1" applyBorder="1" applyAlignment="1">
      <alignment horizontal="center" vertical="center"/>
    </xf>
    <xf numFmtId="0" fontId="26" fillId="3" borderId="10" xfId="4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 wrapText="1"/>
    </xf>
    <xf numFmtId="0" fontId="1" fillId="3" borderId="2" xfId="4" applyFont="1" applyFill="1" applyBorder="1" applyAlignment="1">
      <alignment horizontal="center" vertical="center"/>
    </xf>
    <xf numFmtId="0" fontId="26" fillId="3" borderId="6" xfId="4" applyFont="1" applyFill="1" applyBorder="1" applyAlignment="1">
      <alignment horizontal="center" vertical="center"/>
    </xf>
    <xf numFmtId="2" fontId="26" fillId="3" borderId="1" xfId="4" applyNumberFormat="1" applyFont="1" applyFill="1" applyBorder="1" applyAlignment="1">
      <alignment horizontal="center"/>
    </xf>
    <xf numFmtId="0" fontId="26" fillId="3" borderId="3" xfId="4" applyFont="1" applyFill="1" applyBorder="1" applyAlignment="1">
      <alignment horizontal="center" vertical="center"/>
    </xf>
    <xf numFmtId="2" fontId="26" fillId="3" borderId="8" xfId="4" applyNumberFormat="1" applyFont="1" applyFill="1" applyBorder="1" applyAlignment="1">
      <alignment horizontal="center"/>
    </xf>
    <xf numFmtId="2" fontId="26" fillId="3" borderId="12" xfId="4" applyNumberFormat="1" applyFont="1" applyFill="1" applyBorder="1" applyAlignment="1">
      <alignment horizontal="center"/>
    </xf>
    <xf numFmtId="0" fontId="3" fillId="3" borderId="8" xfId="4" applyFont="1" applyFill="1" applyBorder="1" applyAlignment="1">
      <alignment vertical="center" wrapText="1"/>
    </xf>
    <xf numFmtId="0" fontId="3" fillId="3" borderId="12" xfId="4" applyFont="1" applyFill="1" applyBorder="1" applyAlignment="1">
      <alignment horizontal="center" vertical="center" wrapText="1"/>
    </xf>
    <xf numFmtId="0" fontId="1" fillId="3" borderId="1" xfId="4" applyFont="1" applyFill="1" applyBorder="1" applyAlignment="1">
      <alignment horizontal="center" vertical="center" wrapText="1"/>
    </xf>
    <xf numFmtId="0" fontId="26" fillId="3" borderId="1" xfId="4" applyFont="1" applyFill="1" applyBorder="1" applyAlignment="1">
      <alignment horizontal="center" vertical="center"/>
    </xf>
    <xf numFmtId="2" fontId="26" fillId="3" borderId="8" xfId="4" applyNumberFormat="1" applyFont="1" applyFill="1" applyBorder="1" applyAlignment="1">
      <alignment horizontal="center"/>
    </xf>
    <xf numFmtId="2" fontId="26" fillId="3" borderId="12" xfId="4" applyNumberFormat="1" applyFont="1" applyFill="1" applyBorder="1" applyAlignment="1">
      <alignment horizontal="center"/>
    </xf>
    <xf numFmtId="0" fontId="69" fillId="3" borderId="8" xfId="4" applyFont="1" applyFill="1" applyBorder="1"/>
    <xf numFmtId="0" fontId="69" fillId="3" borderId="12" xfId="4" applyFont="1" applyFill="1" applyBorder="1" applyAlignment="1">
      <alignment horizontal="center"/>
    </xf>
    <xf numFmtId="0" fontId="69" fillId="3" borderId="12" xfId="4" applyFont="1" applyFill="1" applyBorder="1"/>
    <xf numFmtId="2" fontId="1" fillId="3" borderId="1" xfId="4" applyNumberFormat="1" applyFont="1" applyFill="1" applyBorder="1" applyAlignment="1">
      <alignment horizontal="center" vertical="top" wrapText="1"/>
    </xf>
    <xf numFmtId="0" fontId="26" fillId="3" borderId="1" xfId="4" applyFont="1" applyFill="1" applyBorder="1" applyAlignment="1">
      <alignment wrapText="1"/>
    </xf>
    <xf numFmtId="2" fontId="1" fillId="3" borderId="8" xfId="4" applyNumberFormat="1" applyFont="1" applyFill="1" applyBorder="1" applyAlignment="1">
      <alignment horizontal="center" vertical="top" wrapText="1"/>
    </xf>
    <xf numFmtId="2" fontId="1" fillId="3" borderId="12" xfId="4" applyNumberFormat="1" applyFont="1" applyFill="1" applyBorder="1" applyAlignment="1">
      <alignment horizontal="center" vertical="top" wrapText="1"/>
    </xf>
    <xf numFmtId="0" fontId="1" fillId="3" borderId="8" xfId="4" applyFont="1" applyFill="1" applyBorder="1" applyAlignment="1">
      <alignment horizontal="center" vertical="top" wrapText="1"/>
    </xf>
    <xf numFmtId="0" fontId="26" fillId="3" borderId="2" xfId="4" applyFont="1" applyFill="1" applyBorder="1" applyAlignment="1">
      <alignment horizontal="center" vertical="center"/>
    </xf>
    <xf numFmtId="0" fontId="26" fillId="3" borderId="8" xfId="4" applyFont="1" applyFill="1" applyBorder="1" applyAlignment="1">
      <alignment horizontal="center"/>
    </xf>
    <xf numFmtId="0" fontId="26" fillId="3" borderId="12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 wrapText="1"/>
    </xf>
    <xf numFmtId="0" fontId="26" fillId="3" borderId="1" xfId="4" applyFont="1" applyFill="1" applyBorder="1" applyAlignment="1">
      <alignment horizontal="center" vertical="top" wrapText="1"/>
    </xf>
    <xf numFmtId="0" fontId="69" fillId="3" borderId="1" xfId="4" applyFont="1" applyFill="1" applyBorder="1" applyAlignment="1">
      <alignment horizontal="center"/>
    </xf>
    <xf numFmtId="0" fontId="26" fillId="3" borderId="12" xfId="4" applyFont="1" applyFill="1" applyBorder="1"/>
    <xf numFmtId="0" fontId="26" fillId="3" borderId="9" xfId="4" applyFont="1" applyFill="1" applyBorder="1" applyAlignment="1">
      <alignment vertical="center"/>
    </xf>
    <xf numFmtId="0" fontId="67" fillId="3" borderId="1" xfId="4" applyFill="1" applyBorder="1" applyAlignment="1">
      <alignment vertical="center"/>
    </xf>
    <xf numFmtId="0" fontId="26" fillId="3" borderId="9" xfId="4" applyFont="1" applyFill="1" applyBorder="1" applyAlignment="1">
      <alignment horizontal="center"/>
    </xf>
    <xf numFmtId="165" fontId="26" fillId="3" borderId="1" xfId="4" applyNumberFormat="1" applyFont="1" applyFill="1" applyBorder="1" applyAlignment="1">
      <alignment horizontal="center"/>
    </xf>
    <xf numFmtId="0" fontId="26" fillId="3" borderId="12" xfId="4" applyFont="1" applyFill="1" applyBorder="1" applyAlignment="1">
      <alignment horizontal="center"/>
    </xf>
    <xf numFmtId="0" fontId="26" fillId="3" borderId="8" xfId="4" applyFont="1" applyFill="1" applyBorder="1" applyAlignment="1">
      <alignment horizontal="center" vertical="center"/>
    </xf>
    <xf numFmtId="0" fontId="1" fillId="3" borderId="2" xfId="4" applyFont="1" applyFill="1" applyBorder="1" applyAlignment="1">
      <alignment horizontal="center" vertical="top" wrapText="1"/>
    </xf>
    <xf numFmtId="0" fontId="1" fillId="3" borderId="14" xfId="4" applyFont="1" applyFill="1" applyBorder="1" applyAlignment="1">
      <alignment horizontal="center" vertical="top" wrapText="1"/>
    </xf>
    <xf numFmtId="0" fontId="26" fillId="3" borderId="15" xfId="4" applyFont="1" applyFill="1" applyBorder="1"/>
    <xf numFmtId="0" fontId="26" fillId="3" borderId="14" xfId="4" applyFont="1" applyFill="1" applyBorder="1" applyAlignment="1">
      <alignment horizontal="center"/>
    </xf>
    <xf numFmtId="0" fontId="26" fillId="3" borderId="1" xfId="4" applyFont="1" applyFill="1" applyBorder="1" applyAlignment="1">
      <alignment horizontal="center"/>
    </xf>
    <xf numFmtId="0" fontId="26" fillId="3" borderId="1" xfId="0" applyFont="1" applyFill="1" applyBorder="1" applyAlignment="1">
      <alignment horizontal="left" vertical="top"/>
    </xf>
    <xf numFmtId="0" fontId="26" fillId="3" borderId="1" xfId="0" applyFont="1" applyFill="1" applyBorder="1" applyAlignment="1">
      <alignment horizontal="center" vertical="top"/>
    </xf>
    <xf numFmtId="0" fontId="72" fillId="3" borderId="0" xfId="0" applyFont="1" applyFill="1" applyAlignment="1">
      <alignment horizontal="left" vertical="top"/>
    </xf>
    <xf numFmtId="0" fontId="72" fillId="3" borderId="1" xfId="0" applyFont="1" applyFill="1" applyBorder="1" applyAlignment="1">
      <alignment horizontal="center" vertical="center"/>
    </xf>
    <xf numFmtId="0" fontId="26" fillId="3" borderId="1" xfId="4" applyFont="1" applyFill="1" applyBorder="1" applyAlignment="1">
      <alignment vertical="center"/>
    </xf>
    <xf numFmtId="0" fontId="72" fillId="3" borderId="1" xfId="0" applyFont="1" applyFill="1" applyBorder="1" applyAlignment="1">
      <alignment horizontal="center" vertical="top"/>
    </xf>
    <xf numFmtId="0" fontId="75" fillId="3" borderId="0" xfId="0" applyFont="1" applyFill="1" applyAlignment="1">
      <alignment horizontal="left" vertical="top"/>
    </xf>
    <xf numFmtId="0" fontId="75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2" fontId="26" fillId="3" borderId="1" xfId="4" applyNumberFormat="1" applyFont="1" applyFill="1" applyBorder="1" applyAlignment="1">
      <alignment horizontal="center" vertical="top" wrapText="1"/>
    </xf>
    <xf numFmtId="2" fontId="26" fillId="3" borderId="2" xfId="4" applyNumberFormat="1" applyFont="1" applyFill="1" applyBorder="1" applyAlignment="1">
      <alignment horizontal="center" vertical="top" wrapText="1"/>
    </xf>
    <xf numFmtId="0" fontId="26" fillId="3" borderId="2" xfId="4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top"/>
    </xf>
    <xf numFmtId="0" fontId="26" fillId="3" borderId="1" xfId="4" applyFont="1" applyFill="1" applyBorder="1" applyAlignment="1">
      <alignment horizontal="center" vertical="center" wrapText="1"/>
    </xf>
    <xf numFmtId="0" fontId="72" fillId="3" borderId="1" xfId="0" applyFont="1" applyFill="1" applyBorder="1" applyAlignment="1">
      <alignment horizontal="left" vertical="top"/>
    </xf>
    <xf numFmtId="0" fontId="75" fillId="3" borderId="1" xfId="0" applyFont="1" applyFill="1" applyBorder="1" applyAlignment="1">
      <alignment horizontal="left" vertical="top"/>
    </xf>
    <xf numFmtId="2" fontId="26" fillId="3" borderId="1" xfId="4" applyNumberFormat="1" applyFont="1" applyFill="1" applyBorder="1" applyAlignment="1">
      <alignment horizontal="center" vertical="center" wrapText="1"/>
    </xf>
    <xf numFmtId="0" fontId="72" fillId="3" borderId="1" xfId="0" applyFont="1" applyFill="1" applyBorder="1" applyAlignment="1">
      <alignment horizontal="left" vertical="center" wrapText="1"/>
    </xf>
    <xf numFmtId="0" fontId="72" fillId="3" borderId="1" xfId="0" applyFont="1" applyFill="1" applyBorder="1" applyAlignment="1">
      <alignment horizontal="center" vertical="center" wrapText="1"/>
    </xf>
    <xf numFmtId="0" fontId="26" fillId="3" borderId="1" xfId="4" applyFont="1" applyFill="1" applyBorder="1" applyAlignment="1">
      <alignment horizontal="left"/>
    </xf>
    <xf numFmtId="0" fontId="72" fillId="3" borderId="1" xfId="4" applyFont="1" applyFill="1" applyBorder="1" applyAlignment="1">
      <alignment horizontal="center"/>
    </xf>
    <xf numFmtId="0" fontId="67" fillId="3" borderId="0" xfId="4" applyFill="1" applyAlignment="1">
      <alignment horizontal="center"/>
    </xf>
    <xf numFmtId="0" fontId="26" fillId="14" borderId="1" xfId="4" applyFont="1" applyFill="1" applyBorder="1" applyAlignment="1">
      <alignment horizontal="center" vertical="center"/>
    </xf>
    <xf numFmtId="0" fontId="26" fillId="14" borderId="1" xfId="4" applyFont="1" applyFill="1" applyBorder="1" applyAlignment="1">
      <alignment horizontal="center"/>
    </xf>
    <xf numFmtId="0" fontId="26" fillId="14" borderId="2" xfId="4" applyFont="1" applyFill="1" applyBorder="1" applyAlignment="1">
      <alignment horizontal="center" vertical="center" wrapText="1"/>
    </xf>
    <xf numFmtId="0" fontId="26" fillId="14" borderId="6" xfId="4" applyFont="1" applyFill="1" applyBorder="1" applyAlignment="1">
      <alignment horizontal="center" vertical="center" wrapText="1"/>
    </xf>
    <xf numFmtId="0" fontId="26" fillId="14" borderId="3" xfId="4" applyFont="1" applyFill="1" applyBorder="1" applyAlignment="1">
      <alignment horizontal="center" vertical="center" wrapText="1"/>
    </xf>
    <xf numFmtId="0" fontId="26" fillId="6" borderId="1" xfId="4" applyFont="1" applyFill="1" applyBorder="1" applyAlignment="1">
      <alignment horizontal="center"/>
    </xf>
    <xf numFmtId="0" fontId="20" fillId="3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34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76" fillId="6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6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justify" vertical="top" wrapText="1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0" fontId="25" fillId="18" borderId="1" xfId="0" applyFont="1" applyFill="1" applyBorder="1" applyAlignment="1">
      <alignment horizontal="justify" vertical="center" wrapText="1"/>
    </xf>
    <xf numFmtId="0" fontId="26" fillId="18" borderId="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vertical="top" wrapText="1"/>
    </xf>
    <xf numFmtId="0" fontId="25" fillId="18" borderId="1" xfId="0" applyFont="1" applyFill="1" applyBorder="1" applyAlignment="1">
      <alignment horizontal="justify" vertical="top" wrapText="1"/>
    </xf>
    <xf numFmtId="0" fontId="25" fillId="3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wrapText="1"/>
    </xf>
    <xf numFmtId="0" fontId="30" fillId="18" borderId="1" xfId="0" applyFont="1" applyFill="1" applyBorder="1" applyAlignment="1">
      <alignment horizontal="left" vertical="top" wrapText="1"/>
    </xf>
    <xf numFmtId="0" fontId="72" fillId="14" borderId="1" xfId="0" applyFont="1" applyFill="1" applyBorder="1" applyAlignment="1">
      <alignment horizontal="center" vertical="center"/>
    </xf>
    <xf numFmtId="0" fontId="26" fillId="14" borderId="1" xfId="4" applyFont="1" applyFill="1" applyBorder="1" applyAlignment="1">
      <alignment horizontal="center" vertical="top" wrapText="1"/>
    </xf>
    <xf numFmtId="0" fontId="26" fillId="14" borderId="1" xfId="0" applyFont="1" applyFill="1" applyBorder="1" applyAlignment="1">
      <alignment horizontal="left" vertical="top"/>
    </xf>
    <xf numFmtId="0" fontId="26" fillId="14" borderId="1" xfId="0" applyFont="1" applyFill="1" applyBorder="1" applyAlignment="1">
      <alignment horizontal="center" vertical="top"/>
    </xf>
    <xf numFmtId="0" fontId="1" fillId="14" borderId="2" xfId="4" applyFont="1" applyFill="1" applyBorder="1" applyAlignment="1">
      <alignment horizontal="center" vertical="top" wrapText="1"/>
    </xf>
    <xf numFmtId="0" fontId="72" fillId="14" borderId="0" xfId="0" applyFont="1" applyFill="1" applyAlignment="1">
      <alignment horizontal="left" vertical="top"/>
    </xf>
    <xf numFmtId="2" fontId="26" fillId="14" borderId="1" xfId="4" applyNumberFormat="1" applyFont="1" applyFill="1" applyBorder="1" applyAlignment="1">
      <alignment horizontal="center" vertical="top" wrapText="1"/>
    </xf>
    <xf numFmtId="0" fontId="1" fillId="14" borderId="1" xfId="4" applyFont="1" applyFill="1" applyBorder="1" applyAlignment="1">
      <alignment horizontal="center" vertical="top" wrapText="1"/>
    </xf>
    <xf numFmtId="0" fontId="75" fillId="14" borderId="1" xfId="0" applyFont="1" applyFill="1" applyBorder="1" applyAlignment="1">
      <alignment horizontal="left" vertical="top"/>
    </xf>
    <xf numFmtId="0" fontId="26" fillId="14" borderId="1" xfId="4" applyFont="1" applyFill="1" applyBorder="1"/>
    <xf numFmtId="0" fontId="26" fillId="14" borderId="1" xfId="4" applyFont="1" applyFill="1" applyBorder="1" applyAlignment="1">
      <alignment vertical="center"/>
    </xf>
    <xf numFmtId="0" fontId="75" fillId="14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top"/>
    </xf>
    <xf numFmtId="0" fontId="77" fillId="3" borderId="1" xfId="0" applyFont="1" applyFill="1" applyBorder="1" applyAlignment="1">
      <alignment horizontal="left" vertical="top"/>
    </xf>
    <xf numFmtId="0" fontId="0" fillId="0" borderId="18" xfId="0" applyBorder="1" applyAlignment="1">
      <alignment horizontal="center" wrapText="1"/>
    </xf>
    <xf numFmtId="0" fontId="25" fillId="3" borderId="1" xfId="4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33" fillId="3" borderId="0" xfId="0" applyFont="1" applyFill="1" applyBorder="1" applyAlignment="1">
      <alignment vertical="center"/>
    </xf>
    <xf numFmtId="0" fontId="30" fillId="3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/>
    </xf>
    <xf numFmtId="49" fontId="1" fillId="18" borderId="1" xfId="4" applyNumberFormat="1" applyFont="1" applyFill="1" applyBorder="1" applyAlignment="1">
      <alignment horizontal="center" vertical="top" wrapText="1"/>
    </xf>
    <xf numFmtId="0" fontId="1" fillId="18" borderId="1" xfId="4" applyFont="1" applyFill="1" applyBorder="1" applyAlignment="1">
      <alignment horizontal="justify" vertical="top" wrapText="1"/>
    </xf>
    <xf numFmtId="0" fontId="26" fillId="18" borderId="0" xfId="0" applyFont="1" applyFill="1" applyAlignment="1">
      <alignment horizontal="center"/>
    </xf>
    <xf numFmtId="0" fontId="1" fillId="18" borderId="1" xfId="4" applyFont="1" applyFill="1" applyBorder="1" applyAlignment="1">
      <alignment horizontal="center" vertical="top" wrapText="1"/>
    </xf>
    <xf numFmtId="0" fontId="26" fillId="18" borderId="1" xfId="0" applyFont="1" applyFill="1" applyBorder="1" applyAlignment="1">
      <alignment horizontal="center"/>
    </xf>
    <xf numFmtId="0" fontId="1" fillId="18" borderId="9" xfId="4" applyFont="1" applyFill="1" applyBorder="1" applyAlignment="1">
      <alignment horizontal="center" vertical="top" wrapText="1"/>
    </xf>
    <xf numFmtId="0" fontId="26" fillId="18" borderId="1" xfId="0" applyFont="1" applyFill="1" applyBorder="1" applyAlignment="1">
      <alignment horizontal="center" wrapText="1"/>
    </xf>
    <xf numFmtId="0" fontId="26" fillId="0" borderId="1" xfId="0" applyFont="1" applyFill="1" applyBorder="1" applyAlignment="1">
      <alignment horizontal="justify" vertical="top" wrapText="1"/>
    </xf>
    <xf numFmtId="0" fontId="33" fillId="2" borderId="12" xfId="0" applyFont="1" applyFill="1" applyBorder="1" applyAlignment="1">
      <alignment horizontal="center" vertical="center"/>
    </xf>
  </cellXfs>
  <cellStyles count="5">
    <cellStyle name="Normal" xfId="0" builtinId="0"/>
    <cellStyle name="Normal 14" xfId="1" xr:uid="{00000000-0005-0000-0000-000001000000}"/>
    <cellStyle name="Normal 2" xfId="4" xr:uid="{861ECA48-8E0E-4461-8B9C-3B263FE2C9D0}"/>
    <cellStyle name="표준_단품공정도 LIST_ZA310-0001(포장목록-56량-실내외 설비품)_BAL-SHEET-CONSOL" xfId="2" xr:uid="{00000000-0005-0000-0000-000002000000}"/>
    <cellStyle name="標準 9" xfId="3" xr:uid="{00000000-0005-0000-0000-000003000000}"/>
  </cellStyles>
  <dxfs count="0"/>
  <tableStyles count="0" defaultTableStyle="TableStyleMedium2" defaultPivotStyle="PivotStyleLight16"/>
  <colors>
    <mruColors>
      <color rgb="FFA1FB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9"/>
  <sheetViews>
    <sheetView zoomScaleNormal="100" zoomScaleSheetLayoutView="70" workbookViewId="0">
      <pane ySplit="3" topLeftCell="A4" activePane="bottomLeft" state="frozen"/>
      <selection pane="bottomLeft" activeCell="I18" sqref="I18"/>
    </sheetView>
  </sheetViews>
  <sheetFormatPr defaultRowHeight="15"/>
  <cols>
    <col min="1" max="1" width="9.140625" style="1"/>
    <col min="2" max="2" width="6.42578125" customWidth="1"/>
    <col min="3" max="3" width="15.85546875" customWidth="1"/>
    <col min="4" max="4" width="22.140625" style="2" customWidth="1"/>
    <col min="5" max="5" width="40.5703125" customWidth="1"/>
    <col min="6" max="6" width="6.85546875" style="2" customWidth="1"/>
    <col min="7" max="7" width="19.5703125" style="2" customWidth="1"/>
    <col min="8" max="8" width="17" customWidth="1"/>
    <col min="9" max="9" width="16" customWidth="1"/>
    <col min="10" max="10" width="24.28515625" bestFit="1" customWidth="1"/>
    <col min="12" max="12" width="9.140625" customWidth="1"/>
    <col min="14" max="14" width="25.140625" customWidth="1"/>
  </cols>
  <sheetData>
    <row r="1" spans="1:8" ht="36" customHeight="1">
      <c r="A1" s="283" t="s">
        <v>687</v>
      </c>
      <c r="B1" s="283"/>
      <c r="C1" s="283"/>
      <c r="D1" s="283"/>
      <c r="E1" s="283"/>
      <c r="F1" s="283"/>
      <c r="G1" s="283"/>
      <c r="H1" s="283"/>
    </row>
    <row r="2" spans="1:8" s="106" customFormat="1" ht="31.5" customHeight="1">
      <c r="A2" s="285" t="s">
        <v>606</v>
      </c>
      <c r="B2" s="288" t="s">
        <v>256</v>
      </c>
      <c r="C2" s="290" t="s">
        <v>533</v>
      </c>
      <c r="D2" s="290" t="s">
        <v>20</v>
      </c>
      <c r="E2" s="292" t="s">
        <v>1</v>
      </c>
      <c r="F2" s="292" t="s">
        <v>2</v>
      </c>
      <c r="G2" s="188" t="s">
        <v>5</v>
      </c>
      <c r="H2" s="294" t="s">
        <v>764</v>
      </c>
    </row>
    <row r="3" spans="1:8" s="106" customFormat="1" ht="24" customHeight="1">
      <c r="A3" s="285"/>
      <c r="B3" s="289"/>
      <c r="C3" s="291"/>
      <c r="D3" s="291"/>
      <c r="E3" s="293"/>
      <c r="F3" s="293"/>
      <c r="G3" s="189" t="s">
        <v>532</v>
      </c>
      <c r="H3" s="294"/>
    </row>
    <row r="4" spans="1:8" s="2" customFormat="1" ht="16.5" customHeight="1">
      <c r="A4" s="13"/>
      <c r="B4" s="120">
        <v>1</v>
      </c>
      <c r="C4" s="77"/>
      <c r="D4" s="11" t="s">
        <v>31</v>
      </c>
      <c r="E4" s="46" t="s">
        <v>29</v>
      </c>
      <c r="F4" s="35" t="s">
        <v>3</v>
      </c>
      <c r="G4" s="82">
        <v>2</v>
      </c>
    </row>
    <row r="5" spans="1:8" s="2" customFormat="1" ht="15.75">
      <c r="A5" s="13"/>
      <c r="B5" s="120">
        <v>2</v>
      </c>
      <c r="C5" s="78"/>
      <c r="D5" s="11" t="s">
        <v>30</v>
      </c>
      <c r="E5" s="46" t="s">
        <v>29</v>
      </c>
      <c r="F5" s="35" t="s">
        <v>3</v>
      </c>
      <c r="G5" s="82">
        <v>2</v>
      </c>
    </row>
    <row r="6" spans="1:8" ht="15.75">
      <c r="B6" s="120">
        <v>3</v>
      </c>
      <c r="C6" s="78"/>
      <c r="D6" s="11" t="s">
        <v>28</v>
      </c>
      <c r="E6" s="46" t="s">
        <v>276</v>
      </c>
      <c r="F6" s="35" t="s">
        <v>3</v>
      </c>
      <c r="G6" s="82">
        <v>12</v>
      </c>
    </row>
    <row r="7" spans="1:8" ht="15.75">
      <c r="B7" s="120">
        <v>4</v>
      </c>
      <c r="C7" s="78"/>
      <c r="D7" s="11" t="s">
        <v>27</v>
      </c>
      <c r="E7" s="46" t="s">
        <v>276</v>
      </c>
      <c r="F7" s="35" t="s">
        <v>3</v>
      </c>
      <c r="G7" s="82">
        <v>2</v>
      </c>
    </row>
    <row r="8" spans="1:8" ht="15.75">
      <c r="B8" s="120">
        <v>5</v>
      </c>
      <c r="C8" s="78"/>
      <c r="D8" s="11" t="s">
        <v>26</v>
      </c>
      <c r="E8" s="46" t="s">
        <v>276</v>
      </c>
      <c r="F8" s="35" t="s">
        <v>3</v>
      </c>
      <c r="G8" s="82">
        <v>4</v>
      </c>
    </row>
    <row r="9" spans="1:8" ht="15.75">
      <c r="B9" s="286">
        <v>6</v>
      </c>
      <c r="C9" s="78"/>
      <c r="D9" s="11" t="s">
        <v>24</v>
      </c>
      <c r="E9" s="46" t="s">
        <v>23</v>
      </c>
      <c r="F9" s="35" t="s">
        <v>3</v>
      </c>
      <c r="G9" s="82">
        <v>4</v>
      </c>
    </row>
    <row r="10" spans="1:8" ht="15.75">
      <c r="B10" s="287"/>
      <c r="C10" s="78"/>
      <c r="D10" s="11" t="s">
        <v>22</v>
      </c>
      <c r="E10" s="46" t="s">
        <v>21</v>
      </c>
      <c r="F10" s="35" t="s">
        <v>3</v>
      </c>
      <c r="G10" s="82">
        <v>4</v>
      </c>
    </row>
    <row r="11" spans="1:8" ht="15.75">
      <c r="B11" s="120">
        <v>7</v>
      </c>
      <c r="C11" s="78"/>
      <c r="D11" s="11" t="s">
        <v>32</v>
      </c>
      <c r="E11" s="46" t="s">
        <v>29</v>
      </c>
      <c r="F11" s="35" t="s">
        <v>4</v>
      </c>
      <c r="G11" s="82">
        <v>1</v>
      </c>
    </row>
    <row r="12" spans="1:8" ht="15.75">
      <c r="B12" s="120">
        <v>8</v>
      </c>
      <c r="C12" s="78"/>
      <c r="D12" s="11" t="s">
        <v>33</v>
      </c>
      <c r="E12" s="46" t="s">
        <v>34</v>
      </c>
      <c r="F12" s="35" t="s">
        <v>3</v>
      </c>
      <c r="G12" s="82">
        <v>5</v>
      </c>
    </row>
    <row r="13" spans="1:8" ht="15.75">
      <c r="B13" s="120">
        <v>9</v>
      </c>
      <c r="C13" s="78"/>
      <c r="D13" s="11" t="s">
        <v>35</v>
      </c>
      <c r="E13" s="46" t="s">
        <v>34</v>
      </c>
      <c r="F13" s="35" t="s">
        <v>3</v>
      </c>
      <c r="G13" s="83">
        <v>5</v>
      </c>
    </row>
    <row r="14" spans="1:8" ht="15.75">
      <c r="B14" s="120">
        <v>10</v>
      </c>
      <c r="C14" s="78"/>
      <c r="D14" s="11" t="s">
        <v>36</v>
      </c>
      <c r="E14" s="46" t="s">
        <v>34</v>
      </c>
      <c r="F14" s="35" t="s">
        <v>3</v>
      </c>
      <c r="G14" s="83">
        <v>5</v>
      </c>
    </row>
    <row r="15" spans="1:8" ht="15.75">
      <c r="B15" s="120">
        <v>11</v>
      </c>
      <c r="C15" s="78"/>
      <c r="D15" s="11" t="s">
        <v>37</v>
      </c>
      <c r="E15" s="36" t="s">
        <v>38</v>
      </c>
      <c r="F15" s="35" t="s">
        <v>3</v>
      </c>
      <c r="G15" s="83">
        <v>2</v>
      </c>
    </row>
    <row r="16" spans="1:8" ht="15.75">
      <c r="B16" s="120">
        <v>12</v>
      </c>
      <c r="C16" s="78"/>
      <c r="D16" s="11" t="s">
        <v>39</v>
      </c>
      <c r="E16" s="48" t="s">
        <v>40</v>
      </c>
      <c r="F16" s="35" t="s">
        <v>4</v>
      </c>
      <c r="G16" s="83">
        <v>1</v>
      </c>
      <c r="H16" s="284" t="s">
        <v>872</v>
      </c>
    </row>
    <row r="17" spans="2:8" ht="15.75">
      <c r="B17" s="120">
        <v>13</v>
      </c>
      <c r="C17" s="78"/>
      <c r="D17" s="11" t="s">
        <v>42</v>
      </c>
      <c r="E17" s="48" t="s">
        <v>41</v>
      </c>
      <c r="F17" s="35" t="s">
        <v>3</v>
      </c>
      <c r="G17" s="83">
        <v>38</v>
      </c>
      <c r="H17" s="284"/>
    </row>
    <row r="18" spans="2:8" ht="15.75">
      <c r="B18" s="120">
        <v>14</v>
      </c>
      <c r="C18" s="78"/>
      <c r="D18" s="11" t="s">
        <v>43</v>
      </c>
      <c r="E18" s="48" t="s">
        <v>40</v>
      </c>
      <c r="F18" s="35" t="s">
        <v>4</v>
      </c>
      <c r="G18" s="83">
        <v>1</v>
      </c>
      <c r="H18" s="284"/>
    </row>
    <row r="19" spans="2:8" ht="15.75">
      <c r="B19" s="120">
        <v>15</v>
      </c>
      <c r="C19" s="78"/>
      <c r="D19" s="11" t="s">
        <v>42</v>
      </c>
      <c r="E19" s="48" t="s">
        <v>41</v>
      </c>
      <c r="F19" s="35" t="s">
        <v>3</v>
      </c>
      <c r="G19" s="83">
        <v>38</v>
      </c>
      <c r="H19" s="284"/>
    </row>
    <row r="20" spans="2:8" ht="15.75">
      <c r="B20" s="120">
        <v>16</v>
      </c>
      <c r="C20" s="78"/>
      <c r="D20" s="11" t="s">
        <v>44</v>
      </c>
      <c r="E20" s="46" t="s">
        <v>29</v>
      </c>
      <c r="F20" s="35" t="s">
        <v>3</v>
      </c>
      <c r="G20" s="83">
        <v>2</v>
      </c>
      <c r="H20" s="284"/>
    </row>
    <row r="21" spans="2:8" ht="15.75">
      <c r="B21" s="120">
        <v>17</v>
      </c>
      <c r="C21" s="78"/>
      <c r="D21" s="11" t="s">
        <v>45</v>
      </c>
      <c r="E21" s="46" t="s">
        <v>29</v>
      </c>
      <c r="F21" s="35" t="s">
        <v>3</v>
      </c>
      <c r="G21" s="83">
        <v>2</v>
      </c>
      <c r="H21" s="284"/>
    </row>
    <row r="22" spans="2:8" ht="15.75">
      <c r="B22" s="120">
        <v>18</v>
      </c>
      <c r="C22" s="78"/>
      <c r="D22" s="11" t="s">
        <v>46</v>
      </c>
      <c r="E22" s="46" t="s">
        <v>29</v>
      </c>
      <c r="F22" s="35" t="s">
        <v>3</v>
      </c>
      <c r="G22" s="83">
        <v>2</v>
      </c>
      <c r="H22" s="284"/>
    </row>
    <row r="23" spans="2:8" ht="15.75">
      <c r="B23" s="120">
        <v>19</v>
      </c>
      <c r="C23" s="78"/>
      <c r="D23" s="11" t="s">
        <v>47</v>
      </c>
      <c r="E23" s="46" t="s">
        <v>25</v>
      </c>
      <c r="F23" s="35" t="s">
        <v>3</v>
      </c>
      <c r="G23" s="83">
        <v>50</v>
      </c>
      <c r="H23" s="284"/>
    </row>
    <row r="24" spans="2:8" ht="15.75">
      <c r="B24" s="120">
        <v>20</v>
      </c>
      <c r="C24" s="78"/>
      <c r="D24" s="11" t="s">
        <v>48</v>
      </c>
      <c r="E24" s="48" t="s">
        <v>49</v>
      </c>
      <c r="F24" s="35" t="s">
        <v>3</v>
      </c>
      <c r="G24" s="83">
        <v>2</v>
      </c>
      <c r="H24" s="284"/>
    </row>
    <row r="25" spans="2:8" ht="15.75">
      <c r="B25" s="120">
        <v>21</v>
      </c>
      <c r="C25" s="78"/>
      <c r="D25" s="11" t="s">
        <v>50</v>
      </c>
      <c r="E25" s="46" t="s">
        <v>25</v>
      </c>
      <c r="F25" s="35" t="s">
        <v>3</v>
      </c>
      <c r="G25" s="83">
        <v>100</v>
      </c>
      <c r="H25" s="284"/>
    </row>
    <row r="26" spans="2:8" ht="15.75">
      <c r="B26" s="120">
        <v>22</v>
      </c>
      <c r="C26" s="78"/>
      <c r="D26" s="11">
        <v>9160723001</v>
      </c>
      <c r="E26" s="48" t="s">
        <v>51</v>
      </c>
      <c r="F26" s="35" t="s">
        <v>3</v>
      </c>
      <c r="G26" s="83">
        <v>4</v>
      </c>
      <c r="H26" s="284"/>
    </row>
    <row r="27" spans="2:8" ht="15.75">
      <c r="B27" s="120">
        <v>23</v>
      </c>
      <c r="C27" s="78"/>
      <c r="D27" s="11">
        <v>9150006101</v>
      </c>
      <c r="E27" s="48" t="s">
        <v>52</v>
      </c>
      <c r="F27" s="35" t="s">
        <v>3</v>
      </c>
      <c r="G27" s="83">
        <v>72</v>
      </c>
      <c r="H27" s="284"/>
    </row>
    <row r="28" spans="2:8" ht="15.75">
      <c r="B28" s="120">
        <v>24</v>
      </c>
      <c r="C28" s="78"/>
      <c r="D28" s="11">
        <v>9160723101</v>
      </c>
      <c r="E28" s="48" t="s">
        <v>53</v>
      </c>
      <c r="F28" s="35" t="s">
        <v>3</v>
      </c>
      <c r="G28" s="83">
        <v>4</v>
      </c>
      <c r="H28" s="284"/>
    </row>
    <row r="29" spans="2:8" ht="15.75">
      <c r="B29" s="120">
        <v>25</v>
      </c>
      <c r="C29" s="78"/>
      <c r="D29" s="11">
        <v>9150006201</v>
      </c>
      <c r="E29" s="48" t="s">
        <v>54</v>
      </c>
      <c r="F29" s="35" t="s">
        <v>3</v>
      </c>
      <c r="G29" s="83">
        <v>72</v>
      </c>
      <c r="H29" s="284"/>
    </row>
    <row r="30" spans="2:8" ht="15.75">
      <c r="B30" s="120">
        <v>26</v>
      </c>
      <c r="C30" s="78"/>
      <c r="D30" s="11">
        <v>9140023101</v>
      </c>
      <c r="E30" s="36" t="s">
        <v>55</v>
      </c>
      <c r="F30" s="35" t="s">
        <v>3</v>
      </c>
      <c r="G30" s="83">
        <v>6</v>
      </c>
      <c r="H30" s="284"/>
    </row>
    <row r="31" spans="2:8" ht="15.75">
      <c r="B31" s="120">
        <v>27</v>
      </c>
      <c r="C31" s="78"/>
      <c r="D31" s="11">
        <v>9150043113</v>
      </c>
      <c r="E31" s="41" t="s">
        <v>56</v>
      </c>
      <c r="F31" s="35" t="s">
        <v>3</v>
      </c>
      <c r="G31" s="83">
        <v>12</v>
      </c>
      <c r="H31" s="284"/>
    </row>
    <row r="32" spans="2:8" ht="15.75">
      <c r="B32" s="120">
        <v>28</v>
      </c>
      <c r="C32" s="78"/>
      <c r="D32" s="11">
        <v>9150006224</v>
      </c>
      <c r="E32" s="41" t="s">
        <v>57</v>
      </c>
      <c r="F32" s="35" t="s">
        <v>3</v>
      </c>
      <c r="G32" s="83">
        <v>48</v>
      </c>
      <c r="H32" s="284"/>
    </row>
    <row r="33" spans="1:8" ht="15.75">
      <c r="B33" s="120">
        <v>29</v>
      </c>
      <c r="C33" s="78"/>
      <c r="D33" s="11" t="s">
        <v>61</v>
      </c>
      <c r="E33" s="36" t="s">
        <v>58</v>
      </c>
      <c r="F33" s="35" t="s">
        <v>64</v>
      </c>
      <c r="G33" s="83">
        <v>3</v>
      </c>
      <c r="H33" s="284"/>
    </row>
    <row r="34" spans="1:8" ht="15.75">
      <c r="B34" s="120">
        <v>30</v>
      </c>
      <c r="C34" s="78"/>
      <c r="D34" s="11" t="s">
        <v>62</v>
      </c>
      <c r="E34" s="36" t="s">
        <v>59</v>
      </c>
      <c r="F34" s="35" t="s">
        <v>3</v>
      </c>
      <c r="G34" s="83">
        <v>10</v>
      </c>
      <c r="H34" s="284"/>
    </row>
    <row r="35" spans="1:8" ht="15.75">
      <c r="B35" s="120">
        <v>31</v>
      </c>
      <c r="C35" s="78"/>
      <c r="D35" s="11" t="s">
        <v>63</v>
      </c>
      <c r="E35" s="36" t="s">
        <v>60</v>
      </c>
      <c r="F35" s="35" t="s">
        <v>3</v>
      </c>
      <c r="G35" s="83">
        <v>10</v>
      </c>
      <c r="H35" s="284"/>
    </row>
    <row r="36" spans="1:8" s="3" customFormat="1" ht="18.75">
      <c r="A36" s="123"/>
    </row>
    <row r="37" spans="1:8" s="10" customFormat="1" ht="18.75" customHeight="1">
      <c r="A37" s="9"/>
    </row>
    <row r="38" spans="1:8" s="10" customFormat="1" ht="15.75">
      <c r="A38" s="9"/>
    </row>
    <row r="39" spans="1:8" s="10" customFormat="1" ht="15.75">
      <c r="A39" s="9"/>
    </row>
    <row r="40" spans="1:8" s="10" customFormat="1" ht="15.75">
      <c r="A40" s="9"/>
    </row>
    <row r="41" spans="1:8" s="10" customFormat="1" ht="15.75">
      <c r="A41" s="9"/>
    </row>
    <row r="42" spans="1:8" s="10" customFormat="1" ht="15.75">
      <c r="A42" s="9"/>
    </row>
    <row r="43" spans="1:8" s="10" customFormat="1" ht="15.75">
      <c r="A43" s="9"/>
    </row>
    <row r="44" spans="1:8" s="10" customFormat="1" ht="15.75">
      <c r="A44" s="9"/>
    </row>
    <row r="45" spans="1:8" s="10" customFormat="1" ht="15.75">
      <c r="A45" s="9"/>
    </row>
    <row r="46" spans="1:8" s="10" customFormat="1" ht="15.75">
      <c r="A46" s="9"/>
    </row>
    <row r="47" spans="1:8" s="10" customFormat="1" ht="18" customHeight="1">
      <c r="A47" s="9"/>
    </row>
    <row r="48" spans="1:8" s="10" customFormat="1" ht="15.75">
      <c r="A48" s="9"/>
    </row>
    <row r="49" spans="1:1" s="10" customFormat="1" ht="15.75">
      <c r="A49" s="9"/>
    </row>
    <row r="50" spans="1:1" s="10" customFormat="1" ht="15.75">
      <c r="A50" s="9"/>
    </row>
    <row r="51" spans="1:1" s="10" customFormat="1" ht="15.75">
      <c r="A51" s="9"/>
    </row>
    <row r="52" spans="1:1" s="10" customFormat="1" ht="15.75">
      <c r="A52" s="9"/>
    </row>
    <row r="53" spans="1:1" s="10" customFormat="1" ht="15.75">
      <c r="A53" s="9"/>
    </row>
    <row r="54" spans="1:1" s="10" customFormat="1" ht="15.75">
      <c r="A54" s="9"/>
    </row>
    <row r="55" spans="1:1" s="10" customFormat="1" ht="15.75">
      <c r="A55" s="9"/>
    </row>
    <row r="56" spans="1:1" s="10" customFormat="1" ht="15.75">
      <c r="A56" s="9"/>
    </row>
    <row r="57" spans="1:1" s="10" customFormat="1" ht="15.75">
      <c r="A57" s="9"/>
    </row>
    <row r="58" spans="1:1" s="10" customFormat="1" ht="15.75">
      <c r="A58" s="9"/>
    </row>
    <row r="59" spans="1:1" s="10" customFormat="1" ht="15.75">
      <c r="A59" s="9"/>
    </row>
    <row r="60" spans="1:1" s="10" customFormat="1" ht="15.75">
      <c r="A60" s="9"/>
    </row>
    <row r="61" spans="1:1" s="10" customFormat="1" ht="15.75">
      <c r="A61" s="9"/>
    </row>
    <row r="62" spans="1:1" s="10" customFormat="1" ht="15.75">
      <c r="A62" s="9"/>
    </row>
    <row r="63" spans="1:1" s="10" customFormat="1" ht="15.75">
      <c r="A63" s="9"/>
    </row>
    <row r="64" spans="1:1" s="10" customFormat="1" ht="15.75">
      <c r="A64" s="9"/>
    </row>
    <row r="65" spans="1:1" s="10" customFormat="1" ht="15.75">
      <c r="A65" s="9"/>
    </row>
    <row r="66" spans="1:1" s="10" customFormat="1" ht="15.75">
      <c r="A66" s="9"/>
    </row>
    <row r="67" spans="1:1" s="10" customFormat="1" ht="15.75">
      <c r="A67" s="9"/>
    </row>
    <row r="68" spans="1:1" s="10" customFormat="1" ht="15.75">
      <c r="A68" s="9"/>
    </row>
    <row r="69" spans="1:1" s="10" customFormat="1" ht="15.75">
      <c r="A69" s="9"/>
    </row>
    <row r="70" spans="1:1" s="10" customFormat="1" ht="15.75">
      <c r="A70" s="9"/>
    </row>
    <row r="71" spans="1:1" s="10" customFormat="1" ht="15.75">
      <c r="A71" s="9"/>
    </row>
    <row r="72" spans="1:1" s="10" customFormat="1" ht="15.75">
      <c r="A72" s="9"/>
    </row>
    <row r="73" spans="1:1" s="10" customFormat="1" ht="15.75">
      <c r="A73" s="9"/>
    </row>
    <row r="74" spans="1:1" s="10" customFormat="1" ht="15.75">
      <c r="A74" s="9"/>
    </row>
    <row r="75" spans="1:1" s="10" customFormat="1" ht="15.75">
      <c r="A75" s="9"/>
    </row>
    <row r="76" spans="1:1" s="10" customFormat="1" ht="15.75">
      <c r="A76" s="9"/>
    </row>
    <row r="77" spans="1:1" s="10" customFormat="1" ht="15.75">
      <c r="A77" s="9"/>
    </row>
    <row r="78" spans="1:1" s="10" customFormat="1" ht="15.75">
      <c r="A78" s="9"/>
    </row>
    <row r="79" spans="1:1" s="10" customFormat="1" ht="15.75">
      <c r="A79" s="9"/>
    </row>
    <row r="80" spans="1:1" s="10" customFormat="1" ht="15.75">
      <c r="A80" s="9"/>
    </row>
    <row r="81" spans="1:1" s="10" customFormat="1" ht="15.75">
      <c r="A81" s="9"/>
    </row>
    <row r="82" spans="1:1" s="10" customFormat="1" ht="15.75">
      <c r="A82" s="9"/>
    </row>
    <row r="83" spans="1:1" s="10" customFormat="1" ht="15.75">
      <c r="A83" s="9"/>
    </row>
    <row r="84" spans="1:1" s="10" customFormat="1" ht="15.75">
      <c r="A84" s="9"/>
    </row>
    <row r="85" spans="1:1" s="10" customFormat="1" ht="15.75">
      <c r="A85" s="9"/>
    </row>
    <row r="86" spans="1:1" s="10" customFormat="1" ht="15.75">
      <c r="A86" s="9"/>
    </row>
    <row r="87" spans="1:1" s="10" customFormat="1" ht="15.75">
      <c r="A87" s="9"/>
    </row>
    <row r="88" spans="1:1" s="10" customFormat="1" ht="15.75">
      <c r="A88" s="9"/>
    </row>
    <row r="89" spans="1:1" s="10" customFormat="1" ht="15.75">
      <c r="A89" s="9"/>
    </row>
    <row r="90" spans="1:1" s="10" customFormat="1" ht="15.75">
      <c r="A90" s="9"/>
    </row>
    <row r="91" spans="1:1" s="10" customFormat="1" ht="15.75">
      <c r="A91" s="9"/>
    </row>
    <row r="92" spans="1:1" s="10" customFormat="1" ht="15.75">
      <c r="A92" s="9"/>
    </row>
    <row r="93" spans="1:1" s="10" customFormat="1" ht="15.75">
      <c r="A93" s="9"/>
    </row>
    <row r="94" spans="1:1" s="10" customFormat="1" ht="15.75">
      <c r="A94" s="9"/>
    </row>
    <row r="95" spans="1:1" s="10" customFormat="1" ht="15.75">
      <c r="A95" s="9"/>
    </row>
    <row r="96" spans="1:1" s="10" customFormat="1" ht="15.75">
      <c r="A96" s="9"/>
    </row>
    <row r="97" spans="1:1" s="10" customFormat="1" ht="15.75">
      <c r="A97" s="9"/>
    </row>
    <row r="98" spans="1:1" s="10" customFormat="1" ht="15.75">
      <c r="A98" s="9"/>
    </row>
    <row r="99" spans="1:1" s="10" customFormat="1" ht="15.75">
      <c r="A99" s="9"/>
    </row>
    <row r="100" spans="1:1" s="10" customFormat="1" ht="15.75">
      <c r="A100" s="9"/>
    </row>
    <row r="101" spans="1:1" s="10" customFormat="1" ht="15.75">
      <c r="A101" s="9"/>
    </row>
    <row r="102" spans="1:1" s="10" customFormat="1" ht="15.75">
      <c r="A102" s="9"/>
    </row>
    <row r="103" spans="1:1" s="10" customFormat="1" ht="15.75">
      <c r="A103" s="9"/>
    </row>
    <row r="104" spans="1:1" s="10" customFormat="1" ht="15.75">
      <c r="A104" s="9"/>
    </row>
    <row r="105" spans="1:1" s="10" customFormat="1" ht="15.75">
      <c r="A105" s="9"/>
    </row>
    <row r="106" spans="1:1" s="10" customFormat="1" ht="15.75">
      <c r="A106" s="9"/>
    </row>
    <row r="107" spans="1:1" s="10" customFormat="1" ht="15.75">
      <c r="A107" s="9"/>
    </row>
    <row r="108" spans="1:1" s="10" customFormat="1" ht="15.75">
      <c r="A108" s="9"/>
    </row>
    <row r="109" spans="1:1" s="10" customFormat="1" ht="15.75">
      <c r="A109" s="9"/>
    </row>
    <row r="110" spans="1:1" s="10" customFormat="1" ht="15.75">
      <c r="A110" s="9"/>
    </row>
    <row r="111" spans="1:1" s="10" customFormat="1" ht="15.75">
      <c r="A111" s="9"/>
    </row>
    <row r="112" spans="1:1" s="10" customFormat="1" ht="15.75">
      <c r="A112" s="9"/>
    </row>
    <row r="113" spans="1:1" s="10" customFormat="1" ht="15.75">
      <c r="A113" s="9"/>
    </row>
    <row r="114" spans="1:1" s="10" customFormat="1" ht="15.75">
      <c r="A114" s="9"/>
    </row>
    <row r="115" spans="1:1" s="10" customFormat="1" ht="15.75">
      <c r="A115" s="9"/>
    </row>
    <row r="116" spans="1:1" s="10" customFormat="1" ht="15.75">
      <c r="A116" s="9"/>
    </row>
    <row r="117" spans="1:1" s="10" customFormat="1" ht="15.75">
      <c r="A117" s="9"/>
    </row>
    <row r="118" spans="1:1" s="10" customFormat="1" ht="15.75">
      <c r="A118" s="9"/>
    </row>
    <row r="119" spans="1:1" s="10" customFormat="1" ht="15.75">
      <c r="A119" s="9"/>
    </row>
    <row r="120" spans="1:1" s="10" customFormat="1" ht="15.75">
      <c r="A120" s="9"/>
    </row>
    <row r="121" spans="1:1" s="10" customFormat="1" ht="15.75">
      <c r="A121" s="9"/>
    </row>
    <row r="122" spans="1:1" s="10" customFormat="1" ht="15.75">
      <c r="A122" s="9"/>
    </row>
    <row r="123" spans="1:1" s="10" customFormat="1" ht="15.75">
      <c r="A123" s="9"/>
    </row>
    <row r="124" spans="1:1" s="10" customFormat="1" ht="15.75">
      <c r="A124" s="9"/>
    </row>
    <row r="125" spans="1:1" s="10" customFormat="1" ht="15.75">
      <c r="A125" s="9"/>
    </row>
    <row r="126" spans="1:1" s="10" customFormat="1" ht="15.75">
      <c r="A126" s="9"/>
    </row>
    <row r="127" spans="1:1" s="10" customFormat="1" ht="15.75">
      <c r="A127" s="9"/>
    </row>
    <row r="128" spans="1:1" s="10" customFormat="1" ht="15.75">
      <c r="A128" s="9"/>
    </row>
    <row r="129" spans="1:7" s="10" customFormat="1" ht="15.75">
      <c r="A129" s="9"/>
    </row>
    <row r="130" spans="1:7" s="10" customFormat="1" ht="15.75">
      <c r="A130" s="9"/>
    </row>
    <row r="131" spans="1:7" s="10" customFormat="1" ht="15.75">
      <c r="A131" s="9"/>
    </row>
    <row r="132" spans="1:7" s="10" customFormat="1" ht="15.75">
      <c r="A132" s="9"/>
    </row>
    <row r="133" spans="1:7" s="10" customFormat="1" ht="15.75">
      <c r="A133" s="9"/>
    </row>
    <row r="134" spans="1:7" s="10" customFormat="1" ht="15.75">
      <c r="A134" s="9"/>
    </row>
    <row r="135" spans="1:7" s="10" customFormat="1" ht="15.75">
      <c r="A135" s="9"/>
    </row>
    <row r="136" spans="1:7" s="10" customFormat="1" ht="15.75">
      <c r="A136" s="9"/>
    </row>
    <row r="137" spans="1:7" s="10" customFormat="1" ht="15.75">
      <c r="A137" s="9"/>
    </row>
    <row r="138" spans="1:7" s="10" customFormat="1" ht="15.75">
      <c r="A138" s="9"/>
    </row>
    <row r="139" spans="1:7" s="10" customFormat="1" ht="15.75">
      <c r="A139" s="9"/>
    </row>
    <row r="140" spans="1:7" s="10" customFormat="1" ht="15.75">
      <c r="A140" s="9"/>
    </row>
    <row r="141" spans="1:7" s="10" customFormat="1" ht="15.75">
      <c r="A141" s="9"/>
    </row>
    <row r="142" spans="1:7" s="10" customFormat="1" ht="15.75">
      <c r="A142" s="9"/>
    </row>
    <row r="143" spans="1:7" s="10" customFormat="1" ht="18.75" hidden="1">
      <c r="A143" s="9"/>
      <c r="B143" s="14"/>
      <c r="C143" s="15"/>
      <c r="D143" s="14"/>
      <c r="E143" s="16"/>
      <c r="F143" s="12"/>
      <c r="G143" s="12"/>
    </row>
    <row r="144" spans="1:7" s="10" customFormat="1" ht="18.75" hidden="1">
      <c r="A144" s="9"/>
      <c r="B144" s="14"/>
      <c r="C144" s="15"/>
      <c r="D144" s="14"/>
      <c r="E144" s="16"/>
      <c r="F144" s="12"/>
      <c r="G144" s="12"/>
    </row>
    <row r="145" spans="1:7" s="10" customFormat="1" ht="18.75" hidden="1">
      <c r="A145" s="9"/>
      <c r="B145" s="14"/>
      <c r="C145" s="15"/>
      <c r="D145" s="14"/>
      <c r="E145" s="16"/>
      <c r="F145" s="12"/>
      <c r="G145" s="12"/>
    </row>
    <row r="146" spans="1:7" s="10" customFormat="1" ht="18.75" hidden="1">
      <c r="A146" s="9"/>
      <c r="B146" s="14"/>
      <c r="C146" s="15"/>
      <c r="D146" s="14"/>
      <c r="E146" s="16"/>
      <c r="F146" s="12"/>
      <c r="G146" s="12"/>
    </row>
    <row r="147" spans="1:7" s="10" customFormat="1" ht="18.75" hidden="1">
      <c r="A147" s="9"/>
      <c r="B147" s="14"/>
      <c r="C147" s="15"/>
      <c r="D147" s="14"/>
      <c r="E147" s="16"/>
      <c r="F147" s="12"/>
      <c r="G147" s="12"/>
    </row>
    <row r="148" spans="1:7" s="10" customFormat="1" ht="18.75" hidden="1">
      <c r="A148" s="9"/>
      <c r="B148" s="14"/>
      <c r="C148" s="15"/>
      <c r="D148" s="14"/>
      <c r="E148" s="16"/>
      <c r="F148" s="12"/>
      <c r="G148" s="12"/>
    </row>
    <row r="149" spans="1:7" s="10" customFormat="1" ht="18.75" hidden="1">
      <c r="A149" s="9"/>
      <c r="B149" s="14"/>
      <c r="C149" s="15"/>
      <c r="D149" s="14"/>
      <c r="E149" s="16"/>
      <c r="F149" s="12"/>
      <c r="G149" s="12"/>
    </row>
    <row r="150" spans="1:7" s="10" customFormat="1" ht="18.75" hidden="1">
      <c r="A150" s="9"/>
      <c r="B150" s="14"/>
      <c r="C150" s="15"/>
      <c r="D150" s="14"/>
      <c r="E150" s="16"/>
      <c r="F150" s="12"/>
      <c r="G150" s="12"/>
    </row>
    <row r="151" spans="1:7" s="10" customFormat="1" ht="18.75" hidden="1">
      <c r="A151" s="9"/>
      <c r="B151" s="14"/>
      <c r="C151" s="15"/>
      <c r="D151" s="14"/>
      <c r="E151" s="16"/>
      <c r="F151" s="12"/>
      <c r="G151" s="12"/>
    </row>
    <row r="152" spans="1:7" s="10" customFormat="1" ht="18.75" hidden="1">
      <c r="A152" s="9"/>
      <c r="B152" s="14"/>
      <c r="C152" s="15"/>
      <c r="D152" s="14"/>
      <c r="E152" s="16"/>
      <c r="F152" s="12"/>
      <c r="G152" s="12"/>
    </row>
    <row r="153" spans="1:7" s="10" customFormat="1" ht="18.75" hidden="1">
      <c r="A153" s="9"/>
      <c r="B153" s="14"/>
      <c r="C153" s="15"/>
      <c r="D153" s="14"/>
      <c r="E153" s="16"/>
      <c r="F153" s="12"/>
      <c r="G153" s="12"/>
    </row>
    <row r="154" spans="1:7" s="10" customFormat="1" ht="18.75" hidden="1">
      <c r="A154" s="9"/>
      <c r="B154" s="14"/>
      <c r="C154" s="15"/>
      <c r="D154" s="14"/>
      <c r="E154" s="16"/>
      <c r="F154" s="12"/>
      <c r="G154" s="12"/>
    </row>
    <row r="155" spans="1:7" s="10" customFormat="1" ht="18.75" hidden="1">
      <c r="A155" s="9"/>
      <c r="B155" s="14"/>
      <c r="C155" s="15"/>
      <c r="D155" s="14"/>
      <c r="E155" s="16"/>
      <c r="F155" s="12"/>
      <c r="G155" s="12"/>
    </row>
    <row r="156" spans="1:7" s="10" customFormat="1" ht="18.75" hidden="1">
      <c r="A156" s="9"/>
      <c r="B156" s="14"/>
      <c r="C156" s="15"/>
      <c r="D156" s="14"/>
      <c r="E156" s="16"/>
      <c r="F156" s="12"/>
      <c r="G156" s="12"/>
    </row>
    <row r="157" spans="1:7" s="10" customFormat="1" ht="18.75" hidden="1">
      <c r="A157" s="9"/>
      <c r="B157" s="14"/>
      <c r="C157" s="15"/>
      <c r="D157" s="14"/>
      <c r="E157" s="16"/>
      <c r="F157" s="12"/>
      <c r="G157" s="12"/>
    </row>
    <row r="158" spans="1:7" s="10" customFormat="1" ht="18.75" hidden="1">
      <c r="A158" s="9"/>
      <c r="B158" s="14"/>
      <c r="C158" s="15"/>
      <c r="D158" s="14"/>
      <c r="E158" s="16"/>
      <c r="F158" s="12"/>
      <c r="G158" s="12"/>
    </row>
    <row r="159" spans="1:7" ht="35.25" customHeight="1"/>
    <row r="160" spans="1:7" s="3" customFormat="1" ht="18.75">
      <c r="A160" s="123"/>
    </row>
    <row r="161" spans="1:1" s="10" customFormat="1" ht="15.75">
      <c r="A161" s="9"/>
    </row>
    <row r="162" spans="1:1" s="10" customFormat="1" ht="15.75">
      <c r="A162" s="9"/>
    </row>
    <row r="163" spans="1:1" s="10" customFormat="1" ht="15.75">
      <c r="A163" s="9"/>
    </row>
    <row r="164" spans="1:1" s="10" customFormat="1" ht="15.75">
      <c r="A164" s="9"/>
    </row>
    <row r="165" spans="1:1" s="10" customFormat="1" ht="15.75">
      <c r="A165" s="9"/>
    </row>
    <row r="166" spans="1:1" s="10" customFormat="1" ht="15.75">
      <c r="A166" s="9"/>
    </row>
    <row r="167" spans="1:1" s="10" customFormat="1" ht="15.75">
      <c r="A167" s="9"/>
    </row>
    <row r="202" spans="2:7" ht="15.75">
      <c r="B202" s="121">
        <v>33</v>
      </c>
      <c r="C202" s="1"/>
      <c r="D202" s="13"/>
      <c r="E202" s="32"/>
      <c r="F202" s="13"/>
      <c r="G202" s="13"/>
    </row>
    <row r="203" spans="2:7" ht="15.75">
      <c r="B203" s="121">
        <v>34</v>
      </c>
      <c r="C203" s="1"/>
      <c r="D203" s="13"/>
      <c r="E203" s="21"/>
      <c r="F203" s="13"/>
      <c r="G203" s="13"/>
    </row>
    <row r="204" spans="2:7" ht="15.75">
      <c r="B204" s="121">
        <v>35</v>
      </c>
      <c r="C204" s="1"/>
      <c r="D204" s="13"/>
      <c r="E204" s="21"/>
      <c r="F204" s="13"/>
      <c r="G204" s="13"/>
    </row>
    <row r="205" spans="2:7" ht="15.75">
      <c r="B205" s="121">
        <v>36</v>
      </c>
      <c r="C205" s="1"/>
      <c r="D205" s="13"/>
      <c r="E205" s="19"/>
      <c r="F205" s="13"/>
      <c r="G205" s="13"/>
    </row>
    <row r="206" spans="2:7" ht="15.75">
      <c r="B206" s="121">
        <v>37</v>
      </c>
      <c r="C206" s="1"/>
      <c r="D206" s="13"/>
      <c r="E206" s="18"/>
      <c r="F206" s="13"/>
      <c r="G206" s="13"/>
    </row>
    <row r="207" spans="2:7" ht="15.75">
      <c r="B207" s="121">
        <v>38</v>
      </c>
      <c r="C207" s="1"/>
      <c r="D207" s="13"/>
      <c r="E207" s="18"/>
      <c r="F207" s="13"/>
      <c r="G207" s="13"/>
    </row>
    <row r="208" spans="2:7" ht="15.75">
      <c r="B208" s="121">
        <v>39</v>
      </c>
      <c r="C208" s="1"/>
      <c r="D208" s="13"/>
      <c r="E208" s="18"/>
      <c r="F208" s="13"/>
      <c r="G208" s="13"/>
    </row>
    <row r="209" spans="2:7" ht="15.75">
      <c r="B209" s="121">
        <v>40</v>
      </c>
      <c r="C209" s="1"/>
      <c r="D209" s="13"/>
      <c r="E209" s="18"/>
      <c r="F209" s="13"/>
      <c r="G209" s="13"/>
    </row>
    <row r="210" spans="2:7" ht="15.75">
      <c r="B210" s="121">
        <v>41</v>
      </c>
      <c r="C210" s="1"/>
      <c r="D210" s="13"/>
      <c r="E210" s="18"/>
      <c r="F210" s="13"/>
      <c r="G210" s="13"/>
    </row>
    <row r="211" spans="2:7" ht="15.75">
      <c r="B211" s="121">
        <v>42</v>
      </c>
      <c r="C211" s="1"/>
      <c r="D211" s="13"/>
      <c r="E211" s="18"/>
      <c r="F211" s="13"/>
      <c r="G211" s="13"/>
    </row>
    <row r="212" spans="2:7" ht="15.75">
      <c r="B212" s="121">
        <v>43</v>
      </c>
      <c r="C212" s="1"/>
      <c r="D212" s="13"/>
      <c r="E212" s="21"/>
      <c r="F212" s="13"/>
      <c r="G212" s="13"/>
    </row>
    <row r="213" spans="2:7" ht="15.75">
      <c r="B213" s="121">
        <v>44</v>
      </c>
      <c r="C213" s="1"/>
      <c r="D213" s="13"/>
      <c r="E213" s="21"/>
      <c r="F213" s="13"/>
      <c r="G213" s="13"/>
    </row>
    <row r="214" spans="2:7" ht="15.75">
      <c r="B214" s="121">
        <v>45</v>
      </c>
      <c r="C214" s="1"/>
      <c r="D214" s="13"/>
      <c r="E214" s="21"/>
      <c r="F214" s="13"/>
      <c r="G214" s="13"/>
    </row>
    <row r="215" spans="2:7" ht="15.75">
      <c r="B215" s="121">
        <v>46</v>
      </c>
      <c r="C215" s="1"/>
      <c r="D215" s="13"/>
      <c r="E215" s="21"/>
      <c r="F215" s="13"/>
      <c r="G215" s="13"/>
    </row>
    <row r="216" spans="2:7" ht="15.75">
      <c r="B216" s="121">
        <v>47</v>
      </c>
      <c r="C216" s="1"/>
      <c r="D216" s="13"/>
      <c r="E216" s="21"/>
      <c r="F216" s="13"/>
      <c r="G216" s="13"/>
    </row>
    <row r="217" spans="2:7" ht="15.75">
      <c r="B217" s="121">
        <v>48</v>
      </c>
      <c r="C217" s="1"/>
      <c r="D217" s="13"/>
      <c r="E217" s="21"/>
      <c r="F217" s="13"/>
      <c r="G217" s="13"/>
    </row>
    <row r="218" spans="2:7" ht="15.75">
      <c r="B218" s="121">
        <v>49</v>
      </c>
      <c r="C218" s="1"/>
      <c r="D218" s="13"/>
      <c r="E218" s="21"/>
      <c r="F218" s="13"/>
      <c r="G218" s="13"/>
    </row>
    <row r="219" spans="2:7" ht="15.75">
      <c r="B219" s="121">
        <v>50</v>
      </c>
      <c r="C219" s="1"/>
      <c r="D219" s="13"/>
      <c r="E219" s="21"/>
      <c r="F219" s="13"/>
      <c r="G219" s="13"/>
    </row>
    <row r="220" spans="2:7" ht="15.75">
      <c r="B220" s="121">
        <v>51</v>
      </c>
      <c r="C220" s="1"/>
      <c r="D220" s="13"/>
      <c r="E220" s="21"/>
      <c r="F220" s="13"/>
      <c r="G220" s="13"/>
    </row>
    <row r="221" spans="2:7" ht="15.75">
      <c r="B221" s="121">
        <v>52</v>
      </c>
      <c r="C221" s="1"/>
      <c r="D221" s="13"/>
      <c r="E221" s="21"/>
      <c r="F221" s="13"/>
      <c r="G221" s="13"/>
    </row>
    <row r="222" spans="2:7" ht="15.75">
      <c r="B222" s="121">
        <v>53</v>
      </c>
      <c r="C222" s="1"/>
      <c r="D222" s="13"/>
      <c r="E222" s="21"/>
      <c r="F222" s="13"/>
      <c r="G222" s="13"/>
    </row>
    <row r="223" spans="2:7" ht="15.75">
      <c r="B223" s="121">
        <v>54</v>
      </c>
      <c r="C223" s="1"/>
      <c r="D223" s="13"/>
      <c r="E223" s="21"/>
      <c r="F223" s="13"/>
      <c r="G223" s="13"/>
    </row>
    <row r="224" spans="2:7" ht="15.75">
      <c r="B224" s="121">
        <v>55</v>
      </c>
      <c r="C224" s="1"/>
      <c r="D224" s="13"/>
      <c r="E224" s="21"/>
      <c r="F224" s="13"/>
      <c r="G224" s="13"/>
    </row>
    <row r="225" spans="2:7" ht="15.75">
      <c r="B225" s="121">
        <v>56</v>
      </c>
      <c r="C225" s="1"/>
      <c r="D225" s="13"/>
      <c r="E225" s="21"/>
      <c r="F225" s="13"/>
      <c r="G225" s="13"/>
    </row>
    <row r="226" spans="2:7" ht="15.75">
      <c r="B226" s="121">
        <v>57</v>
      </c>
      <c r="C226" s="1"/>
      <c r="D226" s="13"/>
      <c r="E226" s="21"/>
      <c r="F226" s="13"/>
      <c r="G226" s="13"/>
    </row>
    <row r="227" spans="2:7" ht="15.75">
      <c r="B227" s="121">
        <v>58</v>
      </c>
      <c r="C227" s="1"/>
      <c r="D227" s="13"/>
      <c r="E227" s="23"/>
      <c r="F227" s="13"/>
      <c r="G227" s="13"/>
    </row>
    <row r="228" spans="2:7" ht="15.75">
      <c r="B228" s="121">
        <v>59</v>
      </c>
      <c r="C228" s="1"/>
      <c r="D228" s="13"/>
      <c r="E228" s="17"/>
      <c r="F228" s="13"/>
      <c r="G228" s="13"/>
    </row>
    <row r="229" spans="2:7" ht="15.75">
      <c r="B229" s="121">
        <v>60</v>
      </c>
      <c r="C229" s="1"/>
      <c r="D229" s="13"/>
      <c r="E229" s="17"/>
      <c r="F229" s="13"/>
      <c r="G229" s="13"/>
    </row>
    <row r="230" spans="2:7" ht="15.75">
      <c r="B230" s="121">
        <v>61</v>
      </c>
      <c r="C230" s="1"/>
      <c r="D230" s="13"/>
      <c r="E230" s="17"/>
      <c r="F230" s="13"/>
      <c r="G230" s="13"/>
    </row>
    <row r="231" spans="2:7" ht="15.75">
      <c r="B231" s="121">
        <v>62</v>
      </c>
      <c r="C231" s="1"/>
      <c r="D231" s="13"/>
      <c r="E231" s="17"/>
      <c r="F231" s="13"/>
      <c r="G231" s="13"/>
    </row>
    <row r="232" spans="2:7" ht="15.75">
      <c r="B232" s="121">
        <v>63</v>
      </c>
      <c r="C232" s="1"/>
      <c r="D232" s="13"/>
      <c r="E232" s="17"/>
      <c r="F232" s="13"/>
      <c r="G232" s="13"/>
    </row>
    <row r="233" spans="2:7" ht="15.75">
      <c r="B233" s="121">
        <v>64</v>
      </c>
      <c r="C233" s="1"/>
      <c r="D233" s="13"/>
      <c r="E233" s="18"/>
      <c r="F233" s="13"/>
      <c r="G233" s="13"/>
    </row>
    <row r="234" spans="2:7" ht="15.75">
      <c r="B234" s="121">
        <v>65</v>
      </c>
      <c r="C234" s="1"/>
      <c r="D234" s="13"/>
      <c r="E234" s="19"/>
      <c r="F234" s="13"/>
      <c r="G234" s="13"/>
    </row>
    <row r="235" spans="2:7" ht="15.75">
      <c r="B235" s="121">
        <v>66</v>
      </c>
      <c r="C235" s="1"/>
      <c r="D235" s="13"/>
      <c r="E235" s="20"/>
      <c r="F235" s="13"/>
      <c r="G235" s="13"/>
    </row>
    <row r="236" spans="2:7" ht="15.75">
      <c r="B236" s="121">
        <v>67</v>
      </c>
      <c r="C236" s="1"/>
      <c r="D236" s="13"/>
      <c r="E236" s="20"/>
      <c r="F236" s="13"/>
      <c r="G236" s="13"/>
    </row>
    <row r="237" spans="2:7" ht="15.75">
      <c r="B237" s="121">
        <v>68</v>
      </c>
      <c r="C237" s="1"/>
      <c r="D237" s="13"/>
      <c r="E237" s="20"/>
      <c r="F237" s="13"/>
      <c r="G237" s="13"/>
    </row>
    <row r="238" spans="2:7" ht="15.75">
      <c r="B238" s="121">
        <v>69</v>
      </c>
      <c r="C238" s="1"/>
      <c r="D238" s="13"/>
      <c r="E238" s="20"/>
      <c r="F238" s="13"/>
      <c r="G238" s="13"/>
    </row>
    <row r="239" spans="2:7" ht="15.75">
      <c r="B239" s="121">
        <v>70</v>
      </c>
      <c r="C239" s="1"/>
      <c r="D239" s="13"/>
      <c r="E239" s="19"/>
      <c r="F239" s="13"/>
      <c r="G239" s="13"/>
    </row>
    <row r="240" spans="2:7">
      <c r="B240" s="122"/>
      <c r="C240" s="1"/>
      <c r="D240" s="13"/>
      <c r="E240" s="22"/>
      <c r="F240" s="13"/>
      <c r="G240" s="13"/>
    </row>
    <row r="241" spans="2:7">
      <c r="B241" s="122"/>
      <c r="C241" s="1"/>
      <c r="D241" s="13"/>
      <c r="E241" s="18"/>
      <c r="F241" s="13"/>
      <c r="G241" s="13"/>
    </row>
    <row r="242" spans="2:7">
      <c r="B242" s="122"/>
      <c r="C242" s="1"/>
      <c r="D242" s="13"/>
      <c r="E242" s="18"/>
      <c r="F242" s="13"/>
      <c r="G242" s="13"/>
    </row>
    <row r="243" spans="2:7">
      <c r="B243" s="122"/>
      <c r="C243" s="1"/>
      <c r="D243" s="13"/>
      <c r="E243" s="19"/>
      <c r="F243" s="13"/>
      <c r="G243" s="13"/>
    </row>
    <row r="244" spans="2:7">
      <c r="B244" s="122"/>
      <c r="C244" s="1"/>
      <c r="D244" s="13"/>
      <c r="E244" s="20"/>
      <c r="F244" s="13"/>
      <c r="G244" s="13"/>
    </row>
    <row r="245" spans="2:7">
      <c r="B245" s="122"/>
      <c r="C245" s="1"/>
      <c r="D245" s="13"/>
      <c r="E245" s="20"/>
      <c r="F245" s="13"/>
      <c r="G245" s="13"/>
    </row>
    <row r="246" spans="2:7">
      <c r="B246" s="122"/>
      <c r="C246" s="1"/>
      <c r="D246" s="13"/>
      <c r="E246" s="20"/>
      <c r="F246" s="13"/>
      <c r="G246" s="13"/>
    </row>
    <row r="247" spans="2:7">
      <c r="B247" s="122"/>
      <c r="C247" s="1"/>
      <c r="D247" s="13"/>
      <c r="E247" s="20"/>
      <c r="F247" s="13"/>
      <c r="G247" s="13"/>
    </row>
    <row r="248" spans="2:7">
      <c r="B248" s="122"/>
      <c r="C248" s="1"/>
      <c r="D248" s="13"/>
      <c r="E248" s="20"/>
      <c r="F248" s="13"/>
      <c r="G248" s="13"/>
    </row>
    <row r="249" spans="2:7">
      <c r="B249" s="122"/>
      <c r="C249" s="1"/>
      <c r="D249" s="13"/>
      <c r="E249" s="20"/>
      <c r="F249" s="13"/>
      <c r="G249" s="13"/>
    </row>
    <row r="250" spans="2:7">
      <c r="B250" s="122"/>
      <c r="C250" s="1"/>
      <c r="D250" s="13"/>
      <c r="E250" s="20"/>
      <c r="F250" s="13"/>
      <c r="G250" s="13"/>
    </row>
    <row r="251" spans="2:7">
      <c r="B251" s="122"/>
      <c r="C251" s="1"/>
      <c r="D251" s="13"/>
      <c r="E251" s="20"/>
      <c r="F251" s="13"/>
      <c r="G251" s="13"/>
    </row>
    <row r="252" spans="2:7">
      <c r="B252" s="122"/>
      <c r="C252" s="1"/>
      <c r="D252" s="13"/>
      <c r="E252" s="20"/>
      <c r="F252" s="13"/>
      <c r="G252" s="13"/>
    </row>
    <row r="253" spans="2:7">
      <c r="B253" s="122"/>
      <c r="C253" s="1"/>
      <c r="D253" s="13"/>
      <c r="E253" s="20"/>
      <c r="F253" s="13"/>
      <c r="G253" s="13"/>
    </row>
    <row r="254" spans="2:7">
      <c r="B254" s="122"/>
      <c r="C254" s="1"/>
      <c r="D254" s="13"/>
      <c r="E254" s="20"/>
      <c r="F254" s="13"/>
      <c r="G254" s="13"/>
    </row>
    <row r="255" spans="2:7">
      <c r="B255" s="122"/>
      <c r="C255" s="1"/>
      <c r="D255" s="13"/>
      <c r="E255" s="19"/>
      <c r="F255" s="13"/>
      <c r="G255" s="13"/>
    </row>
    <row r="256" spans="2:7">
      <c r="B256" s="122"/>
      <c r="C256" s="1"/>
      <c r="D256" s="13"/>
      <c r="E256" s="20"/>
      <c r="F256" s="13"/>
      <c r="G256" s="13"/>
    </row>
    <row r="257" spans="2:7">
      <c r="B257" s="122"/>
      <c r="C257" s="1"/>
      <c r="D257" s="13"/>
      <c r="E257" s="24"/>
      <c r="F257" s="13"/>
      <c r="G257" s="13"/>
    </row>
    <row r="258" spans="2:7">
      <c r="B258" s="122"/>
      <c r="C258" s="1"/>
      <c r="D258" s="13"/>
      <c r="E258" s="24"/>
      <c r="F258" s="13"/>
      <c r="G258" s="13"/>
    </row>
    <row r="259" spans="2:7">
      <c r="B259" s="122"/>
      <c r="C259" s="1"/>
      <c r="D259" s="13"/>
      <c r="E259" s="20"/>
      <c r="F259" s="13"/>
      <c r="G259" s="13"/>
    </row>
    <row r="260" spans="2:7">
      <c r="B260" s="122"/>
      <c r="C260" s="1"/>
      <c r="D260" s="13"/>
      <c r="E260" s="20"/>
      <c r="F260" s="13"/>
      <c r="G260" s="13"/>
    </row>
    <row r="261" spans="2:7">
      <c r="B261" s="122"/>
      <c r="C261" s="1"/>
      <c r="D261" s="13"/>
      <c r="E261" s="24"/>
      <c r="F261" s="13"/>
      <c r="G261" s="13"/>
    </row>
    <row r="262" spans="2:7">
      <c r="B262" s="122"/>
      <c r="C262" s="1"/>
      <c r="D262" s="13"/>
      <c r="E262" s="24"/>
      <c r="F262" s="13"/>
      <c r="G262" s="13"/>
    </row>
    <row r="263" spans="2:7">
      <c r="B263" s="122"/>
      <c r="C263" s="1"/>
      <c r="D263" s="13"/>
      <c r="E263" s="20"/>
      <c r="F263" s="13"/>
      <c r="G263" s="13"/>
    </row>
    <row r="264" spans="2:7">
      <c r="B264" s="122"/>
      <c r="C264" s="1"/>
      <c r="D264" s="13"/>
      <c r="E264" s="19"/>
      <c r="F264" s="13"/>
      <c r="G264" s="13"/>
    </row>
    <row r="265" spans="2:7">
      <c r="B265" s="122"/>
      <c r="C265" s="1"/>
      <c r="D265" s="13"/>
      <c r="E265" s="17"/>
      <c r="F265" s="13"/>
      <c r="G265" s="13"/>
    </row>
    <row r="266" spans="2:7">
      <c r="B266" s="122"/>
      <c r="C266" s="1"/>
      <c r="D266" s="13"/>
      <c r="E266" s="17"/>
      <c r="F266" s="13"/>
      <c r="G266" s="13"/>
    </row>
    <row r="267" spans="2:7">
      <c r="B267" s="122"/>
      <c r="C267" s="1"/>
      <c r="D267" s="13"/>
      <c r="E267" s="24"/>
      <c r="F267" s="13"/>
      <c r="G267" s="13"/>
    </row>
    <row r="268" spans="2:7">
      <c r="B268" s="122"/>
      <c r="C268" s="1"/>
      <c r="D268" s="13"/>
      <c r="E268" s="24"/>
      <c r="F268" s="13"/>
      <c r="G268" s="13"/>
    </row>
    <row r="269" spans="2:7">
      <c r="B269" s="122"/>
      <c r="C269" s="1"/>
      <c r="D269" s="13"/>
      <c r="E269" s="25"/>
      <c r="F269" s="13"/>
      <c r="G269" s="13"/>
    </row>
    <row r="270" spans="2:7">
      <c r="B270" s="122"/>
      <c r="C270" s="1"/>
      <c r="D270" s="13"/>
      <c r="E270" s="17"/>
      <c r="F270" s="13"/>
      <c r="G270" s="13"/>
    </row>
    <row r="271" spans="2:7">
      <c r="B271" s="122"/>
      <c r="C271" s="1"/>
      <c r="D271" s="13"/>
      <c r="E271" s="24"/>
      <c r="F271" s="13"/>
      <c r="G271" s="13"/>
    </row>
    <row r="272" spans="2:7">
      <c r="B272" s="122"/>
      <c r="C272" s="1"/>
      <c r="D272" s="13"/>
      <c r="E272" s="20"/>
      <c r="F272" s="13"/>
      <c r="G272" s="13"/>
    </row>
    <row r="273" spans="2:7">
      <c r="B273" s="122"/>
      <c r="C273" s="1"/>
      <c r="D273" s="13"/>
      <c r="E273" s="19"/>
      <c r="F273" s="13"/>
      <c r="G273" s="13"/>
    </row>
    <row r="274" spans="2:7">
      <c r="B274" s="122"/>
      <c r="C274" s="1"/>
      <c r="D274" s="13"/>
      <c r="E274" s="20"/>
      <c r="F274" s="13"/>
      <c r="G274" s="13"/>
    </row>
    <row r="275" spans="2:7">
      <c r="B275" s="122"/>
      <c r="C275" s="1"/>
      <c r="D275" s="13"/>
      <c r="E275" s="20"/>
      <c r="F275" s="13"/>
      <c r="G275" s="13"/>
    </row>
    <row r="276" spans="2:7">
      <c r="B276" s="122"/>
      <c r="C276" s="1"/>
      <c r="D276" s="13"/>
      <c r="E276" s="20"/>
      <c r="F276" s="13"/>
      <c r="G276" s="13"/>
    </row>
    <row r="277" spans="2:7">
      <c r="B277" s="122"/>
      <c r="C277" s="1"/>
      <c r="D277" s="13"/>
      <c r="E277" s="20"/>
      <c r="F277" s="13"/>
      <c r="G277" s="13"/>
    </row>
    <row r="278" spans="2:7">
      <c r="B278" s="122"/>
      <c r="C278" s="1"/>
      <c r="D278" s="13"/>
      <c r="E278" s="20"/>
      <c r="F278" s="13"/>
      <c r="G278" s="13"/>
    </row>
    <row r="279" spans="2:7">
      <c r="B279" s="122"/>
      <c r="C279" s="1"/>
      <c r="D279" s="13"/>
      <c r="E279" s="20"/>
      <c r="F279" s="13"/>
      <c r="G279" s="13"/>
    </row>
    <row r="280" spans="2:7">
      <c r="B280" s="122"/>
      <c r="C280" s="1"/>
      <c r="D280" s="13"/>
      <c r="E280" s="20"/>
      <c r="F280" s="13"/>
      <c r="G280" s="13"/>
    </row>
    <row r="281" spans="2:7">
      <c r="B281" s="122"/>
      <c r="C281" s="1"/>
      <c r="D281" s="13"/>
      <c r="E281" s="20"/>
      <c r="F281" s="13"/>
      <c r="G281" s="13"/>
    </row>
    <row r="282" spans="2:7">
      <c r="B282" s="122"/>
      <c r="C282" s="1"/>
      <c r="D282" s="13"/>
      <c r="E282" s="20"/>
      <c r="F282" s="13"/>
      <c r="G282" s="13"/>
    </row>
    <row r="283" spans="2:7">
      <c r="B283" s="122"/>
      <c r="C283" s="1"/>
      <c r="D283" s="13"/>
      <c r="E283" s="20"/>
      <c r="F283" s="13"/>
      <c r="G283" s="13"/>
    </row>
    <row r="284" spans="2:7">
      <c r="B284" s="122"/>
      <c r="C284" s="1"/>
      <c r="D284" s="13"/>
      <c r="E284" s="20"/>
      <c r="F284" s="13"/>
      <c r="G284" s="13"/>
    </row>
    <row r="285" spans="2:7">
      <c r="B285" s="122"/>
      <c r="C285" s="1"/>
      <c r="D285" s="13"/>
      <c r="E285" s="20"/>
      <c r="F285" s="13"/>
      <c r="G285" s="13"/>
    </row>
    <row r="286" spans="2:7">
      <c r="B286" s="122"/>
      <c r="C286" s="1"/>
      <c r="D286" s="13"/>
      <c r="E286" s="20"/>
      <c r="F286" s="13"/>
      <c r="G286" s="13"/>
    </row>
    <row r="287" spans="2:7">
      <c r="B287" s="122"/>
      <c r="C287" s="1"/>
      <c r="D287" s="13"/>
      <c r="E287" s="20"/>
      <c r="F287" s="13"/>
      <c r="G287" s="13"/>
    </row>
    <row r="288" spans="2:7">
      <c r="B288" s="122"/>
      <c r="C288" s="1"/>
      <c r="D288" s="13"/>
      <c r="E288" s="20"/>
      <c r="F288" s="13"/>
      <c r="G288" s="13"/>
    </row>
    <row r="289" spans="2:7">
      <c r="B289" s="122"/>
      <c r="C289" s="1"/>
      <c r="D289" s="13"/>
      <c r="E289" s="20"/>
      <c r="F289" s="13"/>
      <c r="G289" s="13"/>
    </row>
    <row r="290" spans="2:7">
      <c r="B290" s="122"/>
      <c r="C290" s="1"/>
      <c r="D290" s="13"/>
      <c r="E290" s="20"/>
      <c r="F290" s="13"/>
      <c r="G290" s="13"/>
    </row>
    <row r="291" spans="2:7">
      <c r="B291" s="122"/>
      <c r="C291" s="1"/>
      <c r="D291" s="13"/>
      <c r="E291" s="20"/>
      <c r="F291" s="13"/>
      <c r="G291" s="13"/>
    </row>
    <row r="292" spans="2:7">
      <c r="B292" s="122"/>
      <c r="C292" s="1"/>
      <c r="D292" s="13"/>
      <c r="E292" s="20"/>
      <c r="F292" s="13"/>
      <c r="G292" s="13"/>
    </row>
    <row r="293" spans="2:7">
      <c r="B293" s="122"/>
      <c r="C293" s="1"/>
      <c r="D293" s="13"/>
      <c r="E293" s="20"/>
      <c r="F293" s="13"/>
      <c r="G293" s="13"/>
    </row>
    <row r="294" spans="2:7">
      <c r="B294" s="122"/>
      <c r="C294" s="1"/>
      <c r="D294" s="13"/>
      <c r="E294" s="20"/>
      <c r="F294" s="13"/>
      <c r="G294" s="13"/>
    </row>
    <row r="295" spans="2:7">
      <c r="B295" s="122"/>
      <c r="C295" s="1"/>
      <c r="D295" s="13"/>
      <c r="E295" s="20"/>
      <c r="F295" s="13"/>
      <c r="G295" s="13"/>
    </row>
    <row r="296" spans="2:7">
      <c r="B296" s="122"/>
      <c r="C296" s="1"/>
      <c r="D296" s="13"/>
      <c r="E296" s="20"/>
      <c r="F296" s="13"/>
      <c r="G296" s="13"/>
    </row>
    <row r="297" spans="2:7">
      <c r="B297" s="122"/>
      <c r="C297" s="1"/>
      <c r="D297" s="13"/>
      <c r="E297" s="20"/>
      <c r="F297" s="13"/>
      <c r="G297" s="13"/>
    </row>
    <row r="298" spans="2:7">
      <c r="B298" s="122"/>
      <c r="C298" s="1"/>
      <c r="D298" s="13"/>
      <c r="E298" s="20"/>
      <c r="F298" s="13"/>
      <c r="G298" s="13"/>
    </row>
    <row r="299" spans="2:7">
      <c r="B299" s="122"/>
      <c r="C299" s="1"/>
      <c r="D299" s="13"/>
      <c r="E299" s="20"/>
      <c r="F299" s="13"/>
      <c r="G299" s="13"/>
    </row>
    <row r="300" spans="2:7">
      <c r="B300" s="122"/>
      <c r="C300" s="1"/>
      <c r="D300" s="13"/>
      <c r="E300" s="17"/>
      <c r="F300" s="13"/>
      <c r="G300" s="13"/>
    </row>
    <row r="301" spans="2:7">
      <c r="B301" s="122"/>
      <c r="C301" s="1"/>
      <c r="D301" s="13"/>
      <c r="E301" s="17"/>
      <c r="F301" s="13"/>
      <c r="G301" s="13"/>
    </row>
    <row r="302" spans="2:7">
      <c r="B302" s="122"/>
      <c r="C302" s="1"/>
      <c r="D302" s="13"/>
      <c r="E302" s="17"/>
      <c r="F302" s="13"/>
      <c r="G302" s="13"/>
    </row>
    <row r="303" spans="2:7">
      <c r="B303" s="122"/>
      <c r="C303" s="1"/>
      <c r="D303" s="13"/>
      <c r="E303" s="17"/>
      <c r="F303" s="13"/>
      <c r="G303" s="13"/>
    </row>
    <row r="304" spans="2:7">
      <c r="B304" s="122"/>
      <c r="C304" s="1"/>
      <c r="D304" s="13"/>
      <c r="E304" s="17"/>
      <c r="F304" s="13"/>
      <c r="G304" s="13"/>
    </row>
    <row r="305" spans="2:7">
      <c r="B305" s="122"/>
      <c r="C305" s="1"/>
      <c r="D305" s="13"/>
      <c r="E305" s="17"/>
      <c r="F305" s="13"/>
      <c r="G305" s="13"/>
    </row>
    <row r="306" spans="2:7">
      <c r="B306" s="122"/>
      <c r="C306" s="1"/>
      <c r="D306" s="13"/>
      <c r="E306" s="17"/>
      <c r="F306" s="13"/>
      <c r="G306" s="13"/>
    </row>
    <row r="307" spans="2:7">
      <c r="B307" s="122"/>
      <c r="C307" s="1"/>
      <c r="D307" s="13"/>
      <c r="E307" s="17"/>
      <c r="F307" s="13"/>
      <c r="G307" s="13"/>
    </row>
    <row r="308" spans="2:7">
      <c r="B308" s="122"/>
      <c r="C308" s="1"/>
      <c r="D308" s="13"/>
      <c r="E308" s="17"/>
      <c r="F308" s="13"/>
      <c r="G308" s="13"/>
    </row>
    <row r="309" spans="2:7">
      <c r="B309" s="122"/>
      <c r="C309" s="1"/>
      <c r="D309" s="13"/>
      <c r="E309" s="17"/>
      <c r="F309" s="13"/>
      <c r="G309" s="13"/>
    </row>
    <row r="310" spans="2:7">
      <c r="B310" s="122"/>
      <c r="C310" s="1"/>
      <c r="D310" s="13"/>
      <c r="E310" s="17"/>
      <c r="F310" s="13"/>
      <c r="G310" s="13"/>
    </row>
    <row r="311" spans="2:7">
      <c r="B311" s="122"/>
      <c r="C311" s="1"/>
      <c r="D311" s="13"/>
      <c r="E311" s="20"/>
      <c r="F311" s="13"/>
      <c r="G311" s="13"/>
    </row>
    <row r="312" spans="2:7">
      <c r="B312" s="122"/>
      <c r="C312" s="1"/>
      <c r="D312" s="13"/>
      <c r="E312" s="17"/>
      <c r="F312" s="13"/>
      <c r="G312" s="13"/>
    </row>
    <row r="313" spans="2:7">
      <c r="B313" s="122"/>
      <c r="C313" s="1"/>
      <c r="D313" s="13"/>
      <c r="E313" s="17"/>
      <c r="F313" s="13"/>
      <c r="G313" s="13"/>
    </row>
    <row r="314" spans="2:7">
      <c r="B314" s="122"/>
      <c r="C314" s="1"/>
      <c r="D314" s="13"/>
      <c r="E314" s="17"/>
      <c r="F314" s="13"/>
      <c r="G314" s="13"/>
    </row>
    <row r="315" spans="2:7">
      <c r="B315" s="122"/>
      <c r="C315" s="1"/>
      <c r="D315" s="13"/>
      <c r="E315" s="17"/>
      <c r="F315" s="13"/>
      <c r="G315" s="13"/>
    </row>
    <row r="316" spans="2:7">
      <c r="B316" s="122"/>
      <c r="C316" s="1"/>
      <c r="D316" s="13"/>
      <c r="E316" s="17"/>
      <c r="F316" s="13"/>
      <c r="G316" s="13"/>
    </row>
    <row r="317" spans="2:7">
      <c r="B317" s="122"/>
      <c r="C317" s="1"/>
      <c r="D317" s="13"/>
      <c r="E317" s="17"/>
      <c r="F317" s="13"/>
      <c r="G317" s="13"/>
    </row>
    <row r="318" spans="2:7">
      <c r="B318" s="122"/>
      <c r="C318" s="1"/>
      <c r="D318" s="13"/>
      <c r="E318" s="17"/>
      <c r="F318" s="13"/>
      <c r="G318" s="13"/>
    </row>
    <row r="319" spans="2:7">
      <c r="B319" s="122"/>
      <c r="C319" s="1"/>
      <c r="D319" s="13"/>
      <c r="E319" s="17"/>
      <c r="F319" s="13"/>
      <c r="G319" s="13"/>
    </row>
    <row r="320" spans="2:7">
      <c r="B320" s="122"/>
      <c r="C320" s="1"/>
      <c r="D320" s="13"/>
      <c r="E320" s="17"/>
      <c r="F320" s="13"/>
      <c r="G320" s="13"/>
    </row>
    <row r="321" spans="2:7">
      <c r="B321" s="122"/>
      <c r="C321" s="1"/>
      <c r="D321" s="13"/>
      <c r="E321" s="17"/>
      <c r="F321" s="13"/>
      <c r="G321" s="13"/>
    </row>
    <row r="322" spans="2:7">
      <c r="B322" s="122"/>
      <c r="C322" s="1"/>
      <c r="D322" s="13"/>
      <c r="E322" s="17"/>
      <c r="F322" s="13"/>
      <c r="G322" s="13"/>
    </row>
    <row r="323" spans="2:7">
      <c r="B323" s="122"/>
      <c r="C323" s="1"/>
      <c r="D323" s="13"/>
      <c r="E323" s="17"/>
      <c r="F323" s="13"/>
      <c r="G323" s="13"/>
    </row>
    <row r="324" spans="2:7">
      <c r="B324" s="122"/>
      <c r="C324" s="1"/>
      <c r="D324" s="13"/>
      <c r="E324" s="17"/>
      <c r="F324" s="13"/>
      <c r="G324" s="13"/>
    </row>
    <row r="325" spans="2:7">
      <c r="B325" s="122"/>
      <c r="C325" s="1"/>
      <c r="D325" s="13"/>
      <c r="E325" s="17"/>
      <c r="F325" s="13"/>
      <c r="G325" s="13"/>
    </row>
    <row r="326" spans="2:7">
      <c r="B326" s="122"/>
      <c r="C326" s="1"/>
      <c r="D326" s="13"/>
      <c r="E326" s="17"/>
      <c r="F326" s="13"/>
      <c r="G326" s="13"/>
    </row>
    <row r="327" spans="2:7">
      <c r="B327" s="122"/>
      <c r="C327" s="1"/>
      <c r="D327" s="13"/>
      <c r="E327" s="17"/>
      <c r="F327" s="13"/>
      <c r="G327" s="13"/>
    </row>
    <row r="328" spans="2:7">
      <c r="B328" s="122"/>
      <c r="C328" s="1"/>
      <c r="D328" s="13"/>
      <c r="E328" s="17"/>
      <c r="F328" s="13"/>
      <c r="G328" s="13"/>
    </row>
    <row r="329" spans="2:7">
      <c r="B329" s="122"/>
      <c r="C329" s="1"/>
      <c r="D329" s="13"/>
      <c r="E329" s="17"/>
      <c r="F329" s="13"/>
      <c r="G329" s="13"/>
    </row>
    <row r="330" spans="2:7">
      <c r="B330" s="122"/>
      <c r="C330" s="1"/>
      <c r="D330" s="13"/>
      <c r="E330" s="17"/>
      <c r="F330" s="13"/>
      <c r="G330" s="13"/>
    </row>
    <row r="331" spans="2:7">
      <c r="B331" s="122"/>
      <c r="C331" s="1"/>
      <c r="D331" s="13"/>
      <c r="E331" s="17"/>
      <c r="F331" s="13"/>
      <c r="G331" s="13"/>
    </row>
    <row r="332" spans="2:7">
      <c r="B332" s="122"/>
      <c r="C332" s="1"/>
      <c r="D332" s="13"/>
      <c r="E332" s="17"/>
      <c r="F332" s="13"/>
      <c r="G332" s="13"/>
    </row>
    <row r="333" spans="2:7">
      <c r="B333" s="122"/>
      <c r="C333" s="1"/>
      <c r="D333" s="13"/>
      <c r="E333" s="17"/>
      <c r="F333" s="13"/>
      <c r="G333" s="13"/>
    </row>
    <row r="334" spans="2:7">
      <c r="B334" s="122"/>
      <c r="C334" s="1"/>
      <c r="D334" s="13"/>
      <c r="E334" s="17"/>
      <c r="F334" s="13"/>
      <c r="G334" s="13"/>
    </row>
    <row r="335" spans="2:7">
      <c r="B335" s="122"/>
      <c r="C335" s="1"/>
      <c r="D335" s="13"/>
      <c r="E335" s="17"/>
      <c r="F335" s="13"/>
      <c r="G335" s="13"/>
    </row>
    <row r="336" spans="2:7">
      <c r="B336" s="122"/>
      <c r="C336" s="1"/>
      <c r="D336" s="13"/>
      <c r="E336" s="17"/>
      <c r="F336" s="13"/>
      <c r="G336" s="13"/>
    </row>
    <row r="337" spans="2:7">
      <c r="B337" s="122"/>
      <c r="C337" s="1"/>
      <c r="D337" s="13"/>
      <c r="E337" s="17"/>
      <c r="F337" s="13"/>
      <c r="G337" s="13"/>
    </row>
    <row r="338" spans="2:7">
      <c r="B338" s="122"/>
      <c r="C338" s="1"/>
      <c r="D338" s="13"/>
      <c r="E338" s="17"/>
      <c r="F338" s="13"/>
      <c r="G338" s="13"/>
    </row>
    <row r="339" spans="2:7">
      <c r="B339" s="122"/>
      <c r="C339" s="1"/>
      <c r="D339" s="13"/>
      <c r="E339" s="17"/>
      <c r="F339" s="13"/>
      <c r="G339" s="13"/>
    </row>
    <row r="340" spans="2:7">
      <c r="B340" s="122"/>
      <c r="C340" s="1"/>
      <c r="D340" s="13"/>
      <c r="E340" s="20"/>
      <c r="F340" s="13"/>
      <c r="G340" s="13"/>
    </row>
    <row r="341" spans="2:7">
      <c r="B341" s="122"/>
      <c r="C341" s="1"/>
      <c r="D341" s="13"/>
      <c r="E341" s="17"/>
      <c r="F341" s="13"/>
      <c r="G341" s="13"/>
    </row>
    <row r="342" spans="2:7">
      <c r="B342" s="122"/>
      <c r="C342" s="1"/>
      <c r="D342" s="13"/>
      <c r="E342" s="17"/>
      <c r="F342" s="13"/>
      <c r="G342" s="13"/>
    </row>
    <row r="343" spans="2:7">
      <c r="B343" s="122"/>
      <c r="C343" s="1"/>
      <c r="D343" s="13"/>
      <c r="E343" s="17"/>
      <c r="F343" s="13"/>
      <c r="G343" s="13"/>
    </row>
    <row r="344" spans="2:7">
      <c r="B344" s="122"/>
      <c r="C344" s="1"/>
      <c r="D344" s="13"/>
      <c r="E344" s="17"/>
      <c r="F344" s="13"/>
      <c r="G344" s="13"/>
    </row>
    <row r="345" spans="2:7">
      <c r="B345" s="122"/>
      <c r="C345" s="1"/>
      <c r="D345" s="13"/>
      <c r="E345" s="17"/>
      <c r="F345" s="13"/>
      <c r="G345" s="13"/>
    </row>
    <row r="346" spans="2:7">
      <c r="B346" s="122"/>
      <c r="C346" s="1"/>
      <c r="D346" s="13"/>
      <c r="E346" s="17"/>
      <c r="F346" s="13"/>
      <c r="G346" s="13"/>
    </row>
    <row r="347" spans="2:7">
      <c r="B347" s="122"/>
      <c r="C347" s="1"/>
      <c r="D347" s="13"/>
      <c r="E347" s="17"/>
      <c r="F347" s="13"/>
      <c r="G347" s="13"/>
    </row>
    <row r="348" spans="2:7">
      <c r="B348" s="122"/>
      <c r="C348" s="1"/>
      <c r="D348" s="13"/>
      <c r="E348" s="17"/>
      <c r="F348" s="13"/>
      <c r="G348" s="13"/>
    </row>
    <row r="349" spans="2:7">
      <c r="B349" s="122"/>
      <c r="C349" s="1"/>
      <c r="D349" s="13"/>
      <c r="E349" s="17"/>
      <c r="F349" s="13"/>
      <c r="G349" s="13"/>
    </row>
    <row r="350" spans="2:7">
      <c r="B350" s="122"/>
      <c r="C350" s="1"/>
      <c r="D350" s="13"/>
      <c r="E350" s="17"/>
      <c r="F350" s="13"/>
      <c r="G350" s="13"/>
    </row>
    <row r="351" spans="2:7">
      <c r="B351" s="122"/>
      <c r="C351" s="1"/>
      <c r="D351" s="13"/>
      <c r="E351" s="20"/>
      <c r="F351" s="13"/>
      <c r="G351" s="13"/>
    </row>
    <row r="352" spans="2:7">
      <c r="B352" s="122"/>
      <c r="C352" s="1"/>
      <c r="D352" s="13"/>
      <c r="E352" s="17"/>
      <c r="F352" s="13"/>
      <c r="G352" s="13"/>
    </row>
    <row r="353" spans="2:7">
      <c r="B353" s="122"/>
      <c r="C353" s="1"/>
      <c r="D353" s="13"/>
      <c r="E353" s="17"/>
      <c r="F353" s="13"/>
      <c r="G353" s="13"/>
    </row>
    <row r="354" spans="2:7">
      <c r="B354" s="122"/>
      <c r="C354" s="1"/>
      <c r="D354" s="13"/>
      <c r="E354" s="17"/>
      <c r="F354" s="13"/>
      <c r="G354" s="13"/>
    </row>
    <row r="355" spans="2:7">
      <c r="B355" s="122"/>
      <c r="C355" s="1"/>
      <c r="D355" s="13"/>
      <c r="E355" s="17"/>
      <c r="F355" s="13"/>
      <c r="G355" s="13"/>
    </row>
    <row r="356" spans="2:7">
      <c r="B356" s="122"/>
      <c r="C356" s="1"/>
      <c r="D356" s="13"/>
      <c r="E356" s="17"/>
      <c r="F356" s="13"/>
      <c r="G356" s="13"/>
    </row>
    <row r="357" spans="2:7">
      <c r="B357" s="122"/>
      <c r="C357" s="1"/>
      <c r="D357" s="13"/>
      <c r="E357" s="17"/>
      <c r="F357" s="13"/>
      <c r="G357" s="13"/>
    </row>
    <row r="358" spans="2:7">
      <c r="B358" s="122"/>
      <c r="C358" s="1"/>
      <c r="D358" s="13"/>
      <c r="E358" s="17"/>
      <c r="F358" s="13"/>
      <c r="G358" s="13"/>
    </row>
    <row r="359" spans="2:7">
      <c r="B359" s="122"/>
      <c r="C359" s="1"/>
      <c r="D359" s="13"/>
      <c r="E359" s="17"/>
      <c r="F359" s="13"/>
      <c r="G359" s="13"/>
    </row>
    <row r="360" spans="2:7">
      <c r="B360" s="122"/>
      <c r="C360" s="1"/>
      <c r="D360" s="13"/>
      <c r="E360" s="17"/>
      <c r="F360" s="13"/>
      <c r="G360" s="13"/>
    </row>
    <row r="361" spans="2:7">
      <c r="B361" s="122"/>
      <c r="C361" s="1"/>
      <c r="D361" s="13"/>
      <c r="E361" s="17"/>
      <c r="F361" s="13"/>
      <c r="G361" s="13"/>
    </row>
    <row r="362" spans="2:7">
      <c r="B362" s="122"/>
      <c r="C362" s="1"/>
      <c r="D362" s="13"/>
      <c r="E362" s="17"/>
      <c r="F362" s="13"/>
      <c r="G362" s="13"/>
    </row>
    <row r="363" spans="2:7">
      <c r="B363" s="122"/>
      <c r="C363" s="1"/>
      <c r="D363" s="13"/>
      <c r="E363" s="17"/>
      <c r="F363" s="13"/>
      <c r="G363" s="13"/>
    </row>
    <row r="364" spans="2:7">
      <c r="B364" s="122"/>
      <c r="C364" s="1"/>
      <c r="D364" s="13"/>
      <c r="E364" s="20"/>
      <c r="F364" s="13"/>
      <c r="G364" s="13"/>
    </row>
    <row r="365" spans="2:7">
      <c r="B365" s="122"/>
      <c r="C365" s="1"/>
      <c r="D365" s="13"/>
      <c r="E365" s="17"/>
      <c r="F365" s="13"/>
      <c r="G365" s="13"/>
    </row>
    <row r="366" spans="2:7">
      <c r="B366" s="122"/>
      <c r="C366" s="1"/>
      <c r="D366" s="13"/>
      <c r="E366" s="17"/>
      <c r="F366" s="13"/>
      <c r="G366" s="13"/>
    </row>
    <row r="367" spans="2:7">
      <c r="B367" s="122"/>
      <c r="C367" s="1"/>
      <c r="D367" s="13"/>
      <c r="E367" s="20"/>
      <c r="F367" s="13"/>
      <c r="G367" s="13"/>
    </row>
    <row r="368" spans="2:7">
      <c r="B368" s="122"/>
      <c r="C368" s="1"/>
      <c r="D368" s="13"/>
      <c r="E368" s="17"/>
      <c r="F368" s="13"/>
      <c r="G368" s="13"/>
    </row>
    <row r="369" spans="2:7">
      <c r="B369" s="122"/>
      <c r="C369" s="1"/>
      <c r="D369" s="13"/>
      <c r="E369" s="17"/>
      <c r="F369" s="13"/>
      <c r="G369" s="13"/>
    </row>
    <row r="370" spans="2:7">
      <c r="B370" s="122"/>
      <c r="C370" s="1"/>
      <c r="D370" s="13"/>
      <c r="E370" s="20"/>
      <c r="F370" s="13"/>
      <c r="G370" s="13"/>
    </row>
    <row r="371" spans="2:7">
      <c r="B371" s="122"/>
      <c r="C371" s="1"/>
      <c r="D371" s="13"/>
      <c r="E371" s="20"/>
      <c r="F371" s="13"/>
      <c r="G371" s="13"/>
    </row>
    <row r="372" spans="2:7">
      <c r="B372" s="122"/>
      <c r="C372" s="1"/>
      <c r="D372" s="13"/>
      <c r="E372" s="20"/>
      <c r="F372" s="13"/>
      <c r="G372" s="13"/>
    </row>
    <row r="373" spans="2:7">
      <c r="B373" s="122"/>
      <c r="C373" s="1"/>
      <c r="D373" s="13"/>
      <c r="E373" s="20"/>
      <c r="F373" s="13"/>
      <c r="G373" s="13"/>
    </row>
    <row r="374" spans="2:7">
      <c r="B374" s="122"/>
      <c r="C374" s="1"/>
      <c r="D374" s="13"/>
      <c r="E374" s="20"/>
      <c r="F374" s="13"/>
      <c r="G374" s="13"/>
    </row>
    <row r="375" spans="2:7">
      <c r="B375" s="122"/>
      <c r="C375" s="1"/>
      <c r="D375" s="13"/>
      <c r="E375" s="26"/>
      <c r="F375" s="13"/>
      <c r="G375" s="13"/>
    </row>
    <row r="376" spans="2:7">
      <c r="B376" s="122"/>
      <c r="C376" s="1"/>
      <c r="D376" s="13"/>
      <c r="E376" s="26"/>
      <c r="F376" s="13"/>
      <c r="G376" s="13"/>
    </row>
    <row r="377" spans="2:7">
      <c r="B377" s="122"/>
      <c r="C377" s="1"/>
      <c r="D377" s="13"/>
      <c r="E377" s="26"/>
      <c r="F377" s="13"/>
      <c r="G377" s="13"/>
    </row>
    <row r="378" spans="2:7">
      <c r="B378" s="122"/>
      <c r="C378" s="1"/>
      <c r="D378" s="13"/>
      <c r="E378" s="26"/>
      <c r="F378" s="13"/>
      <c r="G378" s="13"/>
    </row>
    <row r="379" spans="2:7">
      <c r="B379" s="122"/>
      <c r="C379" s="1"/>
      <c r="D379" s="13"/>
      <c r="E379" s="20"/>
      <c r="F379" s="13"/>
      <c r="G379" s="13"/>
    </row>
    <row r="380" spans="2:7">
      <c r="B380" s="122"/>
      <c r="C380" s="1"/>
      <c r="D380" s="13"/>
      <c r="E380" s="20"/>
      <c r="F380" s="13"/>
      <c r="G380" s="13"/>
    </row>
    <row r="381" spans="2:7">
      <c r="B381" s="122"/>
      <c r="C381" s="1"/>
      <c r="D381" s="13"/>
      <c r="E381" s="20"/>
      <c r="F381" s="13"/>
      <c r="G381" s="13"/>
    </row>
    <row r="382" spans="2:7">
      <c r="B382" s="122"/>
      <c r="C382" s="1"/>
      <c r="D382" s="13"/>
      <c r="E382" s="20"/>
      <c r="F382" s="13"/>
      <c r="G382" s="13"/>
    </row>
    <row r="383" spans="2:7">
      <c r="B383" s="122"/>
      <c r="C383" s="1"/>
      <c r="D383" s="13"/>
      <c r="E383" s="20"/>
      <c r="F383" s="13"/>
      <c r="G383" s="13"/>
    </row>
    <row r="384" spans="2:7">
      <c r="B384" s="122"/>
      <c r="C384" s="1"/>
      <c r="D384" s="13"/>
      <c r="E384" s="27"/>
      <c r="F384" s="13"/>
      <c r="G384" s="13"/>
    </row>
    <row r="385" spans="2:7">
      <c r="B385" s="122"/>
      <c r="C385" s="1"/>
      <c r="D385" s="13"/>
      <c r="E385" s="27"/>
      <c r="F385" s="13"/>
      <c r="G385" s="13"/>
    </row>
    <row r="386" spans="2:7">
      <c r="B386" s="122"/>
      <c r="C386" s="1"/>
      <c r="D386" s="13"/>
      <c r="E386" s="27"/>
      <c r="F386" s="13"/>
      <c r="G386" s="13"/>
    </row>
    <row r="387" spans="2:7">
      <c r="B387" s="122"/>
      <c r="C387" s="1"/>
      <c r="D387" s="13"/>
      <c r="E387" s="27"/>
      <c r="F387" s="13"/>
      <c r="G387" s="13"/>
    </row>
    <row r="388" spans="2:7">
      <c r="B388" s="122"/>
      <c r="C388" s="1"/>
      <c r="D388" s="13"/>
      <c r="E388" s="27"/>
      <c r="F388" s="13"/>
      <c r="G388" s="13"/>
    </row>
    <row r="389" spans="2:7">
      <c r="B389" s="122"/>
      <c r="C389" s="1"/>
      <c r="D389" s="13"/>
      <c r="E389" s="28"/>
      <c r="F389" s="13"/>
      <c r="G389" s="13"/>
    </row>
    <row r="390" spans="2:7">
      <c r="B390" s="122"/>
      <c r="C390" s="1"/>
      <c r="D390" s="13"/>
      <c r="E390" s="27"/>
      <c r="F390" s="13"/>
      <c r="G390" s="13"/>
    </row>
    <row r="391" spans="2:7">
      <c r="B391" s="122"/>
      <c r="C391" s="1"/>
      <c r="D391" s="13"/>
      <c r="E391" s="28"/>
      <c r="F391" s="13"/>
      <c r="G391" s="13"/>
    </row>
    <row r="392" spans="2:7">
      <c r="B392" s="122"/>
      <c r="C392" s="1"/>
      <c r="D392" s="13"/>
      <c r="E392" s="27"/>
      <c r="F392" s="13"/>
      <c r="G392" s="13"/>
    </row>
    <row r="393" spans="2:7">
      <c r="B393" s="122"/>
      <c r="C393" s="1"/>
      <c r="D393" s="13"/>
      <c r="E393" s="28"/>
      <c r="F393" s="13"/>
      <c r="G393" s="13"/>
    </row>
    <row r="394" spans="2:7">
      <c r="B394" s="122"/>
      <c r="C394" s="1"/>
      <c r="D394" s="13"/>
      <c r="E394" s="29"/>
      <c r="F394" s="13"/>
      <c r="G394" s="13"/>
    </row>
    <row r="395" spans="2:7">
      <c r="B395" s="122"/>
      <c r="C395" s="1"/>
      <c r="D395" s="13"/>
      <c r="E395" s="30"/>
      <c r="F395" s="13"/>
      <c r="G395" s="13"/>
    </row>
    <row r="396" spans="2:7">
      <c r="B396" s="122"/>
      <c r="C396" s="1"/>
      <c r="D396" s="13"/>
      <c r="E396" s="29"/>
      <c r="F396" s="13"/>
      <c r="G396" s="13"/>
    </row>
    <row r="397" spans="2:7">
      <c r="B397" s="122"/>
      <c r="C397" s="1"/>
      <c r="D397" s="13"/>
      <c r="E397" s="29"/>
      <c r="F397" s="13"/>
      <c r="G397" s="13"/>
    </row>
    <row r="398" spans="2:7">
      <c r="B398" s="122"/>
      <c r="C398" s="1"/>
      <c r="D398" s="13"/>
      <c r="E398" s="29"/>
      <c r="F398" s="13"/>
      <c r="G398" s="13"/>
    </row>
    <row r="399" spans="2:7">
      <c r="B399" s="122"/>
      <c r="C399" s="1"/>
      <c r="D399" s="13"/>
      <c r="E399" s="29"/>
      <c r="F399" s="13"/>
      <c r="G399" s="13"/>
    </row>
    <row r="400" spans="2:7">
      <c r="B400" s="122"/>
      <c r="C400" s="1"/>
      <c r="D400" s="13"/>
      <c r="E400" s="29"/>
      <c r="F400" s="13"/>
      <c r="G400" s="13"/>
    </row>
    <row r="401" spans="2:7">
      <c r="B401" s="122"/>
      <c r="C401" s="1"/>
      <c r="D401" s="13"/>
      <c r="E401" s="30"/>
      <c r="F401" s="13"/>
      <c r="G401" s="13"/>
    </row>
    <row r="402" spans="2:7">
      <c r="B402" s="122"/>
      <c r="C402" s="1"/>
      <c r="D402" s="13"/>
      <c r="E402" s="29"/>
      <c r="F402" s="13"/>
      <c r="G402" s="13"/>
    </row>
    <row r="403" spans="2:7">
      <c r="B403" s="122"/>
      <c r="C403" s="1"/>
      <c r="D403" s="13"/>
      <c r="E403" s="29"/>
      <c r="F403" s="13"/>
      <c r="G403" s="13"/>
    </row>
    <row r="404" spans="2:7">
      <c r="B404" s="122"/>
      <c r="C404" s="1"/>
      <c r="D404" s="13"/>
      <c r="E404" s="29"/>
      <c r="F404" s="13"/>
      <c r="G404" s="13"/>
    </row>
    <row r="405" spans="2:7">
      <c r="B405" s="122"/>
      <c r="C405" s="1"/>
      <c r="D405" s="13"/>
      <c r="E405" s="29"/>
      <c r="F405" s="13"/>
      <c r="G405" s="13"/>
    </row>
    <row r="406" spans="2:7">
      <c r="B406" s="122"/>
      <c r="C406" s="1"/>
      <c r="D406" s="13"/>
      <c r="E406" s="29"/>
      <c r="F406" s="13"/>
      <c r="G406" s="13"/>
    </row>
    <row r="407" spans="2:7">
      <c r="B407" s="122"/>
      <c r="C407" s="1"/>
      <c r="D407" s="13"/>
      <c r="E407" s="29"/>
      <c r="F407" s="13"/>
      <c r="G407" s="13"/>
    </row>
    <row r="408" spans="2:7">
      <c r="B408" s="122"/>
      <c r="C408" s="1"/>
      <c r="D408" s="13"/>
      <c r="E408" s="29"/>
      <c r="F408" s="13"/>
      <c r="G408" s="13"/>
    </row>
    <row r="409" spans="2:7">
      <c r="B409" s="122"/>
      <c r="C409" s="1"/>
      <c r="D409" s="13"/>
      <c r="E409" s="29"/>
      <c r="F409" s="13"/>
      <c r="G409" s="13"/>
    </row>
    <row r="410" spans="2:7">
      <c r="B410" s="122"/>
      <c r="C410" s="1"/>
      <c r="D410" s="13"/>
      <c r="E410" s="29"/>
      <c r="F410" s="13"/>
      <c r="G410" s="13"/>
    </row>
    <row r="411" spans="2:7">
      <c r="B411" s="122"/>
      <c r="C411" s="1"/>
      <c r="D411" s="13"/>
      <c r="E411" s="29"/>
      <c r="F411" s="13"/>
      <c r="G411" s="13"/>
    </row>
    <row r="412" spans="2:7">
      <c r="B412" s="122"/>
      <c r="C412" s="1"/>
      <c r="D412" s="13"/>
      <c r="E412" s="29"/>
      <c r="F412" s="13"/>
      <c r="G412" s="13"/>
    </row>
    <row r="413" spans="2:7">
      <c r="B413" s="122"/>
      <c r="C413" s="1"/>
      <c r="D413" s="13"/>
      <c r="E413" s="29"/>
      <c r="F413" s="13"/>
      <c r="G413" s="13"/>
    </row>
    <row r="414" spans="2:7">
      <c r="B414" s="122"/>
      <c r="C414" s="1"/>
      <c r="D414" s="13"/>
      <c r="E414" s="29"/>
      <c r="F414" s="13"/>
      <c r="G414" s="13"/>
    </row>
    <row r="415" spans="2:7">
      <c r="B415" s="122"/>
      <c r="C415" s="1"/>
      <c r="D415" s="13"/>
      <c r="E415" s="30"/>
      <c r="F415" s="13"/>
      <c r="G415" s="13"/>
    </row>
    <row r="416" spans="2:7">
      <c r="B416" s="122"/>
      <c r="C416" s="1"/>
      <c r="D416" s="13"/>
      <c r="E416" s="30"/>
      <c r="F416" s="13"/>
      <c r="G416" s="13"/>
    </row>
    <row r="417" spans="2:7">
      <c r="B417" s="122"/>
      <c r="C417" s="1"/>
      <c r="D417" s="13"/>
      <c r="E417" s="29"/>
      <c r="F417" s="13"/>
      <c r="G417" s="13"/>
    </row>
    <row r="418" spans="2:7">
      <c r="B418" s="122"/>
      <c r="C418" s="1"/>
      <c r="D418" s="13"/>
      <c r="E418" s="29"/>
      <c r="F418" s="13"/>
      <c r="G418" s="13"/>
    </row>
    <row r="419" spans="2:7">
      <c r="B419" s="122"/>
      <c r="C419" s="1"/>
      <c r="D419" s="13"/>
      <c r="E419" s="29"/>
      <c r="F419" s="13"/>
      <c r="G419" s="13"/>
    </row>
    <row r="420" spans="2:7">
      <c r="B420" s="122"/>
      <c r="C420" s="1"/>
      <c r="D420" s="13"/>
      <c r="E420" s="29"/>
      <c r="F420" s="13"/>
      <c r="G420" s="13"/>
    </row>
    <row r="421" spans="2:7">
      <c r="B421" s="122"/>
      <c r="C421" s="1"/>
      <c r="D421" s="13"/>
      <c r="E421" s="29"/>
      <c r="F421" s="13"/>
      <c r="G421" s="13"/>
    </row>
    <row r="422" spans="2:7">
      <c r="B422" s="122"/>
      <c r="C422" s="1"/>
      <c r="D422" s="13"/>
      <c r="E422" s="29"/>
      <c r="F422" s="13"/>
      <c r="G422" s="13"/>
    </row>
    <row r="423" spans="2:7">
      <c r="B423" s="122"/>
      <c r="C423" s="1"/>
      <c r="D423" s="13"/>
      <c r="E423" s="29"/>
      <c r="F423" s="13"/>
      <c r="G423" s="13"/>
    </row>
    <row r="424" spans="2:7">
      <c r="B424" s="122"/>
      <c r="C424" s="1"/>
      <c r="D424" s="13"/>
      <c r="E424" s="29"/>
      <c r="F424" s="13"/>
      <c r="G424" s="13"/>
    </row>
    <row r="425" spans="2:7">
      <c r="B425" s="122"/>
      <c r="C425" s="1"/>
      <c r="D425" s="13"/>
      <c r="E425" s="29"/>
      <c r="F425" s="13"/>
      <c r="G425" s="13"/>
    </row>
    <row r="426" spans="2:7">
      <c r="B426" s="122"/>
      <c r="C426" s="1"/>
      <c r="D426" s="13"/>
      <c r="E426" s="29"/>
      <c r="F426" s="13"/>
      <c r="G426" s="13"/>
    </row>
    <row r="427" spans="2:7">
      <c r="B427" s="122"/>
      <c r="C427" s="1"/>
      <c r="D427" s="13"/>
      <c r="E427" s="29"/>
      <c r="F427" s="13"/>
      <c r="G427" s="13"/>
    </row>
    <row r="428" spans="2:7">
      <c r="B428" s="122"/>
      <c r="C428" s="1"/>
      <c r="D428" s="13"/>
      <c r="E428" s="29"/>
      <c r="F428" s="13"/>
      <c r="G428" s="13"/>
    </row>
    <row r="429" spans="2:7">
      <c r="B429" s="122"/>
      <c r="C429" s="1"/>
      <c r="D429" s="13"/>
      <c r="E429" s="29"/>
      <c r="F429" s="13"/>
      <c r="G429" s="13"/>
    </row>
    <row r="430" spans="2:7">
      <c r="B430" s="122"/>
      <c r="C430" s="1"/>
      <c r="D430" s="13"/>
      <c r="E430" s="29"/>
      <c r="F430" s="13"/>
      <c r="G430" s="13"/>
    </row>
    <row r="431" spans="2:7">
      <c r="B431" s="122"/>
      <c r="C431" s="1"/>
      <c r="D431" s="13"/>
      <c r="E431" s="29"/>
      <c r="F431" s="13"/>
      <c r="G431" s="13"/>
    </row>
    <row r="432" spans="2:7">
      <c r="B432" s="122"/>
      <c r="C432" s="1"/>
      <c r="D432" s="13"/>
      <c r="E432" s="29"/>
      <c r="F432" s="13"/>
      <c r="G432" s="13"/>
    </row>
    <row r="433" spans="2:7">
      <c r="B433" s="122"/>
      <c r="C433" s="1"/>
      <c r="D433" s="13"/>
      <c r="E433" s="29"/>
      <c r="F433" s="13"/>
      <c r="G433" s="13"/>
    </row>
    <row r="434" spans="2:7">
      <c r="B434" s="122"/>
      <c r="C434" s="1"/>
      <c r="D434" s="13"/>
      <c r="E434" s="29"/>
      <c r="F434" s="13"/>
      <c r="G434" s="13"/>
    </row>
    <row r="435" spans="2:7">
      <c r="B435" s="122"/>
      <c r="C435" s="1"/>
      <c r="D435" s="13"/>
      <c r="E435" s="29"/>
      <c r="F435" s="13"/>
      <c r="G435" s="13"/>
    </row>
    <row r="436" spans="2:7">
      <c r="B436" s="122"/>
      <c r="C436" s="1"/>
      <c r="D436" s="13"/>
      <c r="E436" s="29"/>
      <c r="F436" s="13"/>
      <c r="G436" s="13"/>
    </row>
    <row r="437" spans="2:7">
      <c r="B437" s="122"/>
      <c r="C437" s="1"/>
      <c r="D437" s="13"/>
      <c r="E437" s="29"/>
      <c r="F437" s="13"/>
      <c r="G437" s="13"/>
    </row>
    <row r="438" spans="2:7">
      <c r="B438" s="122"/>
      <c r="C438" s="1"/>
      <c r="D438" s="13"/>
      <c r="E438" s="31"/>
      <c r="F438" s="13"/>
      <c r="G438" s="13"/>
    </row>
    <row r="439" spans="2:7">
      <c r="B439" s="122"/>
      <c r="C439" s="1"/>
      <c r="D439" s="13"/>
      <c r="E439" s="30"/>
      <c r="F439" s="13"/>
      <c r="G439" s="13"/>
    </row>
    <row r="440" spans="2:7">
      <c r="B440" s="122"/>
      <c r="C440" s="1"/>
      <c r="D440" s="13"/>
      <c r="E440" s="30"/>
      <c r="F440" s="13"/>
      <c r="G440" s="13"/>
    </row>
    <row r="441" spans="2:7">
      <c r="B441" s="122"/>
      <c r="C441" s="1"/>
      <c r="D441" s="13"/>
      <c r="E441" s="31"/>
      <c r="F441" s="13"/>
      <c r="G441" s="13"/>
    </row>
    <row r="442" spans="2:7">
      <c r="B442" s="122"/>
      <c r="C442" s="1"/>
      <c r="D442" s="13"/>
      <c r="E442" s="31"/>
      <c r="F442" s="13"/>
      <c r="G442" s="13"/>
    </row>
    <row r="443" spans="2:7">
      <c r="B443" s="122"/>
      <c r="C443" s="1"/>
      <c r="D443" s="13"/>
      <c r="E443" s="31"/>
      <c r="F443" s="13"/>
      <c r="G443" s="13"/>
    </row>
    <row r="444" spans="2:7">
      <c r="B444" s="122"/>
      <c r="C444" s="1"/>
      <c r="D444" s="13"/>
      <c r="E444" s="31"/>
      <c r="F444" s="13"/>
      <c r="G444" s="13"/>
    </row>
    <row r="445" spans="2:7">
      <c r="B445" s="122"/>
      <c r="C445" s="1"/>
      <c r="D445" s="13"/>
      <c r="E445" s="31"/>
      <c r="F445" s="13"/>
      <c r="G445" s="13"/>
    </row>
    <row r="446" spans="2:7">
      <c r="B446" s="122"/>
      <c r="C446" s="1"/>
      <c r="D446" s="13"/>
      <c r="E446" s="31"/>
      <c r="F446" s="13"/>
      <c r="G446" s="13"/>
    </row>
    <row r="447" spans="2:7">
      <c r="B447" s="122"/>
      <c r="C447" s="1"/>
      <c r="D447" s="13"/>
      <c r="E447" s="31"/>
      <c r="F447" s="13"/>
      <c r="G447" s="13"/>
    </row>
    <row r="448" spans="2:7">
      <c r="B448" s="122"/>
      <c r="C448" s="1"/>
      <c r="D448" s="13"/>
      <c r="E448" s="31"/>
      <c r="F448" s="13"/>
      <c r="G448" s="13"/>
    </row>
    <row r="449" spans="2:7">
      <c r="B449" s="122"/>
      <c r="C449" s="1"/>
      <c r="D449" s="13"/>
      <c r="E449" s="31"/>
      <c r="F449" s="13"/>
      <c r="G449" s="13"/>
    </row>
    <row r="450" spans="2:7">
      <c r="B450" s="122"/>
      <c r="C450" s="1"/>
      <c r="D450" s="13"/>
      <c r="E450" s="31"/>
      <c r="F450" s="13"/>
      <c r="G450" s="13"/>
    </row>
    <row r="451" spans="2:7">
      <c r="B451" s="122"/>
      <c r="C451" s="1"/>
      <c r="D451" s="13"/>
      <c r="E451" s="31"/>
      <c r="F451" s="13"/>
      <c r="G451" s="13"/>
    </row>
    <row r="452" spans="2:7">
      <c r="B452" s="122"/>
      <c r="C452" s="1"/>
      <c r="D452" s="13"/>
      <c r="E452" s="31"/>
      <c r="F452" s="13"/>
      <c r="G452" s="13"/>
    </row>
    <row r="453" spans="2:7">
      <c r="B453" s="122"/>
      <c r="C453" s="1"/>
      <c r="D453" s="13"/>
      <c r="E453" s="31"/>
      <c r="F453" s="13"/>
      <c r="G453" s="13"/>
    </row>
    <row r="454" spans="2:7">
      <c r="B454" s="122"/>
      <c r="C454" s="1"/>
      <c r="D454" s="13"/>
      <c r="E454" s="31"/>
      <c r="F454" s="13"/>
      <c r="G454" s="13"/>
    </row>
    <row r="455" spans="2:7">
      <c r="B455" s="122"/>
      <c r="C455" s="1"/>
      <c r="D455" s="13"/>
      <c r="E455" s="31"/>
      <c r="F455" s="13"/>
      <c r="G455" s="13"/>
    </row>
    <row r="456" spans="2:7">
      <c r="B456" s="122"/>
      <c r="C456" s="1"/>
      <c r="D456" s="13"/>
      <c r="E456" s="31"/>
      <c r="F456" s="13"/>
      <c r="G456" s="13"/>
    </row>
    <row r="457" spans="2:7">
      <c r="B457" s="122"/>
      <c r="C457" s="1"/>
      <c r="D457" s="13"/>
      <c r="E457" s="31"/>
      <c r="F457" s="13"/>
      <c r="G457" s="13"/>
    </row>
    <row r="458" spans="2:7">
      <c r="B458" s="122"/>
      <c r="C458" s="1"/>
      <c r="D458" s="13"/>
      <c r="E458" s="31"/>
      <c r="F458" s="13"/>
      <c r="G458" s="13"/>
    </row>
    <row r="459" spans="2:7">
      <c r="B459" s="122"/>
      <c r="C459" s="1"/>
      <c r="D459" s="13"/>
      <c r="E459" s="31"/>
      <c r="F459" s="13"/>
      <c r="G459" s="13"/>
    </row>
    <row r="460" spans="2:7">
      <c r="B460" s="122"/>
      <c r="C460" s="1"/>
      <c r="D460" s="13"/>
      <c r="E460" s="31"/>
      <c r="F460" s="13"/>
      <c r="G460" s="13"/>
    </row>
    <row r="461" spans="2:7">
      <c r="B461" s="122"/>
      <c r="C461" s="1"/>
      <c r="D461" s="13"/>
      <c r="E461" s="31"/>
      <c r="F461" s="13"/>
      <c r="G461" s="13"/>
    </row>
    <row r="462" spans="2:7">
      <c r="B462" s="122"/>
      <c r="C462" s="1"/>
      <c r="D462" s="13"/>
      <c r="E462" s="31"/>
      <c r="F462" s="13"/>
      <c r="G462" s="13"/>
    </row>
    <row r="463" spans="2:7">
      <c r="B463" s="122"/>
      <c r="C463" s="1"/>
      <c r="D463" s="13"/>
      <c r="E463" s="31"/>
      <c r="F463" s="13"/>
      <c r="G463" s="13"/>
    </row>
    <row r="464" spans="2:7">
      <c r="B464" s="122"/>
      <c r="C464" s="1"/>
      <c r="D464" s="13"/>
      <c r="E464" s="31"/>
      <c r="F464" s="13"/>
      <c r="G464" s="13"/>
    </row>
    <row r="465" spans="2:7">
      <c r="B465" s="122"/>
      <c r="C465" s="1"/>
      <c r="D465" s="13"/>
      <c r="E465" s="31"/>
      <c r="F465" s="13"/>
      <c r="G465" s="13"/>
    </row>
    <row r="466" spans="2:7">
      <c r="B466" s="122"/>
      <c r="C466" s="1"/>
      <c r="D466" s="13"/>
      <c r="E466" s="29"/>
      <c r="F466" s="13"/>
      <c r="G466" s="13"/>
    </row>
    <row r="467" spans="2:7">
      <c r="B467" s="122"/>
      <c r="C467" s="1"/>
      <c r="D467" s="13"/>
      <c r="E467" s="31"/>
      <c r="F467" s="13"/>
      <c r="G467" s="13"/>
    </row>
    <row r="468" spans="2:7">
      <c r="B468" s="122"/>
      <c r="C468" s="1"/>
      <c r="D468" s="13"/>
      <c r="E468" s="31"/>
      <c r="F468" s="13"/>
      <c r="G468" s="13"/>
    </row>
    <row r="469" spans="2:7">
      <c r="B469" s="122"/>
      <c r="C469" s="1"/>
      <c r="D469" s="13"/>
      <c r="E469" s="29"/>
      <c r="F469" s="13"/>
      <c r="G469" s="13"/>
    </row>
    <row r="470" spans="2:7">
      <c r="B470" s="122"/>
      <c r="C470" s="1"/>
      <c r="D470" s="13"/>
      <c r="E470" s="31"/>
      <c r="F470" s="13"/>
      <c r="G470" s="13"/>
    </row>
    <row r="471" spans="2:7">
      <c r="B471" s="122"/>
      <c r="C471" s="1"/>
      <c r="D471" s="13"/>
      <c r="E471" s="31"/>
      <c r="F471" s="13"/>
      <c r="G471" s="13"/>
    </row>
    <row r="472" spans="2:7">
      <c r="B472" s="122"/>
      <c r="C472" s="1"/>
      <c r="D472" s="13"/>
      <c r="E472" s="29"/>
      <c r="F472" s="13"/>
      <c r="G472" s="13"/>
    </row>
    <row r="473" spans="2:7">
      <c r="B473" s="122"/>
      <c r="C473" s="1"/>
      <c r="D473" s="13"/>
      <c r="E473" s="31"/>
      <c r="F473" s="13"/>
      <c r="G473" s="13"/>
    </row>
    <row r="474" spans="2:7">
      <c r="B474" s="122"/>
      <c r="C474" s="1"/>
      <c r="D474" s="13"/>
      <c r="E474" s="31"/>
      <c r="F474" s="13"/>
      <c r="G474" s="13"/>
    </row>
    <row r="475" spans="2:7">
      <c r="B475" s="122"/>
      <c r="C475" s="1"/>
      <c r="D475" s="13"/>
      <c r="E475" s="29"/>
      <c r="F475" s="13"/>
      <c r="G475" s="13"/>
    </row>
    <row r="476" spans="2:7">
      <c r="B476" s="122"/>
      <c r="C476" s="1"/>
      <c r="D476" s="13"/>
      <c r="E476" s="31"/>
      <c r="F476" s="13"/>
      <c r="G476" s="13"/>
    </row>
    <row r="477" spans="2:7">
      <c r="B477" s="122"/>
      <c r="C477" s="1"/>
      <c r="D477" s="13"/>
      <c r="E477" s="31"/>
      <c r="F477" s="13"/>
      <c r="G477" s="13"/>
    </row>
    <row r="478" spans="2:7">
      <c r="B478" s="122"/>
      <c r="C478" s="1"/>
      <c r="D478" s="13"/>
      <c r="E478" s="29"/>
      <c r="F478" s="13"/>
      <c r="G478" s="13"/>
    </row>
    <row r="479" spans="2:7">
      <c r="B479" s="122"/>
      <c r="C479" s="1"/>
      <c r="D479" s="13"/>
      <c r="E479" s="31"/>
      <c r="F479" s="13"/>
      <c r="G479" s="13"/>
    </row>
    <row r="480" spans="2:7">
      <c r="B480" s="122"/>
      <c r="C480" s="1"/>
      <c r="D480" s="13"/>
      <c r="E480" s="31"/>
      <c r="F480" s="13"/>
      <c r="G480" s="13"/>
    </row>
    <row r="481" spans="2:7">
      <c r="B481" s="122"/>
      <c r="C481" s="1"/>
      <c r="D481" s="13"/>
      <c r="E481" s="29"/>
      <c r="F481" s="13"/>
      <c r="G481" s="13"/>
    </row>
    <row r="482" spans="2:7">
      <c r="B482" s="4"/>
      <c r="C482" s="4"/>
      <c r="D482" s="5"/>
      <c r="E482" s="7"/>
      <c r="F482" s="5"/>
      <c r="G482" s="5"/>
    </row>
    <row r="483" spans="2:7">
      <c r="B483" s="4"/>
      <c r="C483" s="4"/>
      <c r="D483" s="5"/>
      <c r="E483" s="8"/>
      <c r="F483" s="5"/>
      <c r="G483" s="5"/>
    </row>
    <row r="484" spans="2:7">
      <c r="B484" s="4"/>
      <c r="C484" s="4"/>
      <c r="D484" s="5"/>
      <c r="E484" s="6"/>
      <c r="F484" s="5"/>
      <c r="G484" s="5"/>
    </row>
    <row r="485" spans="2:7">
      <c r="B485" s="4"/>
      <c r="C485" s="4"/>
      <c r="D485" s="5"/>
      <c r="E485" s="8"/>
      <c r="F485" s="5"/>
      <c r="G485" s="5"/>
    </row>
    <row r="486" spans="2:7">
      <c r="B486" s="4"/>
      <c r="C486" s="4"/>
      <c r="D486" s="5"/>
      <c r="E486" s="8"/>
      <c r="F486" s="5"/>
      <c r="G486" s="5"/>
    </row>
    <row r="487" spans="2:7">
      <c r="B487" s="4"/>
      <c r="C487" s="4"/>
      <c r="D487" s="5"/>
      <c r="E487" s="6"/>
      <c r="F487" s="5"/>
      <c r="G487" s="5"/>
    </row>
    <row r="488" spans="2:7">
      <c r="B488" s="4"/>
      <c r="C488" s="4"/>
      <c r="D488" s="5"/>
      <c r="E488" s="8"/>
      <c r="F488" s="5"/>
      <c r="G488" s="5"/>
    </row>
    <row r="489" spans="2:7">
      <c r="B489" s="4"/>
      <c r="C489" s="4"/>
      <c r="D489" s="5"/>
      <c r="E489" s="8"/>
      <c r="F489" s="5"/>
      <c r="G489" s="5"/>
    </row>
  </sheetData>
  <mergeCells count="10">
    <mergeCell ref="A1:H1"/>
    <mergeCell ref="H16:H35"/>
    <mergeCell ref="A2:A3"/>
    <mergeCell ref="B9:B10"/>
    <mergeCell ref="B2:B3"/>
    <mergeCell ref="C2:C3"/>
    <mergeCell ref="D2:D3"/>
    <mergeCell ref="E2:E3"/>
    <mergeCell ref="F2:F3"/>
    <mergeCell ref="H2:H3"/>
  </mergeCells>
  <phoneticPr fontId="23" type="noConversion"/>
  <pageMargins left="1" right="1" top="1" bottom="1" header="0.5" footer="0.5"/>
  <pageSetup paperSize="9" scale="78" fitToWidth="0" orientation="landscape" r:id="rId1"/>
  <rowBreaks count="5" manualBreakCount="5">
    <brk id="35" min="1" max="10" man="1"/>
    <brk id="64" min="1" max="10" man="1"/>
    <brk id="99" min="1" max="10" man="1"/>
    <brk id="158" min="1" max="10" man="1"/>
    <brk id="19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35"/>
  <sheetViews>
    <sheetView zoomScaleNormal="100" workbookViewId="0">
      <pane ySplit="4" topLeftCell="A56" activePane="bottomLeft" state="frozen"/>
      <selection pane="bottomLeft" activeCell="A2" sqref="A2:V2"/>
    </sheetView>
  </sheetViews>
  <sheetFormatPr defaultRowHeight="15.75"/>
  <cols>
    <col min="1" max="1" width="7.42578125" style="2" customWidth="1"/>
    <col min="2" max="2" width="7.7109375" customWidth="1"/>
    <col min="3" max="3" width="19.7109375" customWidth="1"/>
    <col min="4" max="4" width="36.42578125" customWidth="1"/>
    <col min="5" max="5" width="8.140625" customWidth="1"/>
    <col min="6" max="6" width="9.5703125" hidden="1" customWidth="1"/>
    <col min="7" max="8" width="9.42578125" style="2" hidden="1" customWidth="1"/>
    <col min="9" max="9" width="6.7109375" style="2" hidden="1" customWidth="1"/>
    <col min="10" max="10" width="8.140625" style="148" hidden="1" customWidth="1"/>
    <col min="11" max="11" width="7.5703125" style="2" hidden="1" customWidth="1"/>
    <col min="12" max="12" width="7" style="2" hidden="1" customWidth="1"/>
    <col min="13" max="13" width="4.7109375" style="2" hidden="1" customWidth="1"/>
    <col min="14" max="14" width="8.5703125" style="2" hidden="1" customWidth="1"/>
    <col min="15" max="15" width="7.42578125" style="2" hidden="1" customWidth="1"/>
    <col min="16" max="16" width="8.28515625" style="2" hidden="1" customWidth="1"/>
    <col min="17" max="17" width="7.42578125" style="2" hidden="1" customWidth="1"/>
    <col min="18" max="18" width="7.85546875" style="2" hidden="1" customWidth="1"/>
    <col min="19" max="19" width="10.140625" hidden="1" customWidth="1"/>
    <col min="20" max="20" width="16.140625" hidden="1" customWidth="1"/>
    <col min="21" max="21" width="11.85546875" hidden="1" customWidth="1"/>
    <col min="22" max="22" width="16.28515625" style="135" bestFit="1" customWidth="1"/>
    <col min="23" max="23" width="19.140625" style="49" customWidth="1"/>
  </cols>
  <sheetData>
    <row r="2" spans="1:23" ht="25.5">
      <c r="A2" s="295" t="s">
        <v>685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</row>
    <row r="3" spans="1:23" ht="32.25" customHeight="1">
      <c r="A3" s="297" t="s">
        <v>555</v>
      </c>
      <c r="B3" s="298" t="s">
        <v>0</v>
      </c>
      <c r="C3" s="300" t="s">
        <v>20</v>
      </c>
      <c r="D3" s="302" t="s">
        <v>1</v>
      </c>
      <c r="E3" s="304" t="s">
        <v>2</v>
      </c>
      <c r="F3" s="308" t="s">
        <v>5</v>
      </c>
      <c r="G3" s="309"/>
      <c r="H3" s="310"/>
      <c r="I3" s="177" t="s">
        <v>572</v>
      </c>
      <c r="J3" s="317" t="s">
        <v>573</v>
      </c>
      <c r="K3" s="318"/>
      <c r="L3" s="318"/>
      <c r="M3" s="318"/>
      <c r="N3" s="318"/>
      <c r="O3" s="318"/>
      <c r="P3" s="318"/>
      <c r="Q3" s="318"/>
      <c r="R3" s="319"/>
      <c r="S3" s="306" t="s">
        <v>440</v>
      </c>
      <c r="T3" s="306" t="s">
        <v>522</v>
      </c>
      <c r="U3" s="306" t="s">
        <v>523</v>
      </c>
      <c r="V3" s="315" t="s">
        <v>689</v>
      </c>
      <c r="W3" s="311" t="s">
        <v>764</v>
      </c>
    </row>
    <row r="4" spans="1:23" ht="36" customHeight="1">
      <c r="A4" s="297"/>
      <c r="B4" s="299"/>
      <c r="C4" s="301"/>
      <c r="D4" s="303"/>
      <c r="E4" s="305"/>
      <c r="F4" s="190" t="s">
        <v>520</v>
      </c>
      <c r="G4" s="190" t="s">
        <v>530</v>
      </c>
      <c r="H4" s="190" t="s">
        <v>582</v>
      </c>
      <c r="I4" s="178"/>
      <c r="J4" s="198" t="s">
        <v>613</v>
      </c>
      <c r="K4" s="229" t="s">
        <v>531</v>
      </c>
      <c r="L4" s="198" t="s">
        <v>534</v>
      </c>
      <c r="M4" s="198" t="s">
        <v>559</v>
      </c>
      <c r="N4" s="198" t="s">
        <v>562</v>
      </c>
      <c r="O4" s="230" t="s">
        <v>579</v>
      </c>
      <c r="P4" s="198" t="s">
        <v>610</v>
      </c>
      <c r="Q4" s="198" t="s">
        <v>612</v>
      </c>
      <c r="R4" s="198" t="s">
        <v>680</v>
      </c>
      <c r="S4" s="307"/>
      <c r="T4" s="307"/>
      <c r="U4" s="307"/>
      <c r="V4" s="316"/>
      <c r="W4" s="312"/>
    </row>
    <row r="5" spans="1:23" s="33" customFormat="1" ht="15" customHeight="1">
      <c r="A5" s="39">
        <v>1</v>
      </c>
      <c r="B5" s="39">
        <v>1</v>
      </c>
      <c r="C5" s="39" t="s">
        <v>65</v>
      </c>
      <c r="D5" s="36" t="s">
        <v>120</v>
      </c>
      <c r="E5" s="39" t="s">
        <v>4</v>
      </c>
      <c r="F5" s="35">
        <v>1</v>
      </c>
      <c r="G5" s="157">
        <v>0</v>
      </c>
      <c r="H5" s="37">
        <v>0</v>
      </c>
      <c r="I5" s="179"/>
      <c r="J5" s="149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75"/>
      <c r="U5" s="75"/>
      <c r="V5" s="99">
        <f>F5+G5+J5+K5+L5+M5+N5+O5-S5</f>
        <v>1</v>
      </c>
      <c r="W5" s="134">
        <v>1</v>
      </c>
    </row>
    <row r="6" spans="1:23" s="33" customFormat="1" ht="15" customHeight="1">
      <c r="A6" s="39">
        <v>2</v>
      </c>
      <c r="B6" s="39">
        <v>2</v>
      </c>
      <c r="C6" s="39" t="s">
        <v>66</v>
      </c>
      <c r="D6" s="36" t="s">
        <v>121</v>
      </c>
      <c r="E6" s="39" t="s">
        <v>4</v>
      </c>
      <c r="F6" s="35">
        <v>1</v>
      </c>
      <c r="G6" s="157">
        <v>0</v>
      </c>
      <c r="H6" s="37">
        <v>0</v>
      </c>
      <c r="I6" s="179"/>
      <c r="J6" s="149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9"/>
      <c r="U6" s="39"/>
      <c r="V6" s="99">
        <f t="shared" ref="V6:V14" si="0">F6+G6+L6+K6+M6+N6+O6-S6</f>
        <v>1</v>
      </c>
      <c r="W6" s="202">
        <v>2</v>
      </c>
    </row>
    <row r="7" spans="1:23" s="33" customFormat="1" ht="15" customHeight="1">
      <c r="A7" s="39">
        <v>3</v>
      </c>
      <c r="B7" s="39">
        <v>3</v>
      </c>
      <c r="C7" s="39" t="s">
        <v>67</v>
      </c>
      <c r="D7" s="36" t="s">
        <v>122</v>
      </c>
      <c r="E7" s="39" t="s">
        <v>4</v>
      </c>
      <c r="F7" s="35">
        <v>1</v>
      </c>
      <c r="G7" s="157">
        <v>0</v>
      </c>
      <c r="H7" s="37">
        <v>0</v>
      </c>
      <c r="I7" s="179"/>
      <c r="J7" s="149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9"/>
      <c r="U7" s="39"/>
      <c r="V7" s="99">
        <f t="shared" si="0"/>
        <v>1</v>
      </c>
      <c r="W7" s="202">
        <v>4</v>
      </c>
    </row>
    <row r="8" spans="1:23" s="33" customFormat="1" ht="15" customHeight="1">
      <c r="A8" s="39">
        <v>4</v>
      </c>
      <c r="B8" s="39">
        <v>4</v>
      </c>
      <c r="C8" s="39" t="s">
        <v>68</v>
      </c>
      <c r="D8" s="36" t="s">
        <v>123</v>
      </c>
      <c r="E8" s="39" t="s">
        <v>4</v>
      </c>
      <c r="F8" s="35">
        <v>1</v>
      </c>
      <c r="G8" s="157">
        <v>0</v>
      </c>
      <c r="H8" s="37">
        <v>0</v>
      </c>
      <c r="I8" s="179"/>
      <c r="J8" s="149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81"/>
      <c r="U8" s="39"/>
      <c r="V8" s="99">
        <f t="shared" si="0"/>
        <v>1</v>
      </c>
      <c r="W8" s="134">
        <v>1</v>
      </c>
    </row>
    <row r="9" spans="1:23" s="33" customFormat="1" ht="15" customHeight="1">
      <c r="A9" s="39">
        <v>5</v>
      </c>
      <c r="B9" s="39">
        <v>5</v>
      </c>
      <c r="C9" s="39" t="s">
        <v>69</v>
      </c>
      <c r="D9" s="40" t="s">
        <v>121</v>
      </c>
      <c r="E9" s="39" t="s">
        <v>4</v>
      </c>
      <c r="F9" s="35">
        <v>1</v>
      </c>
      <c r="G9" s="157">
        <v>0</v>
      </c>
      <c r="H9" s="37">
        <v>0</v>
      </c>
      <c r="I9" s="179"/>
      <c r="J9" s="149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9"/>
      <c r="U9" s="39"/>
      <c r="V9" s="99">
        <f t="shared" si="0"/>
        <v>1</v>
      </c>
      <c r="W9" s="202">
        <v>4</v>
      </c>
    </row>
    <row r="10" spans="1:23" s="33" customFormat="1" ht="15" customHeight="1">
      <c r="A10" s="39">
        <v>6</v>
      </c>
      <c r="B10" s="39">
        <v>6</v>
      </c>
      <c r="C10" s="39" t="s">
        <v>70</v>
      </c>
      <c r="D10" s="40" t="s">
        <v>124</v>
      </c>
      <c r="E10" s="39" t="s">
        <v>4</v>
      </c>
      <c r="F10" s="35">
        <v>1</v>
      </c>
      <c r="G10" s="157">
        <v>0</v>
      </c>
      <c r="H10" s="37">
        <v>0</v>
      </c>
      <c r="I10" s="179"/>
      <c r="J10" s="149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9"/>
      <c r="U10" s="39"/>
      <c r="V10" s="99">
        <f t="shared" si="0"/>
        <v>1</v>
      </c>
      <c r="W10" s="134">
        <v>1</v>
      </c>
    </row>
    <row r="11" spans="1:23" s="33" customFormat="1" ht="15" customHeight="1">
      <c r="A11" s="39">
        <v>7</v>
      </c>
      <c r="B11" s="39">
        <v>7</v>
      </c>
      <c r="C11" s="39" t="s">
        <v>71</v>
      </c>
      <c r="D11" s="40" t="s">
        <v>125</v>
      </c>
      <c r="E11" s="39" t="s">
        <v>4</v>
      </c>
      <c r="F11" s="35">
        <v>1</v>
      </c>
      <c r="G11" s="157">
        <v>0</v>
      </c>
      <c r="H11" s="37">
        <v>0</v>
      </c>
      <c r="I11" s="179"/>
      <c r="J11" s="149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9"/>
      <c r="U11" s="39"/>
      <c r="V11" s="99">
        <f t="shared" si="0"/>
        <v>1</v>
      </c>
      <c r="W11" s="202">
        <v>2</v>
      </c>
    </row>
    <row r="12" spans="1:23" s="33" customFormat="1" ht="15" customHeight="1">
      <c r="A12" s="39">
        <v>8</v>
      </c>
      <c r="B12" s="39">
        <v>8</v>
      </c>
      <c r="C12" s="39" t="s">
        <v>72</v>
      </c>
      <c r="D12" s="40" t="s">
        <v>125</v>
      </c>
      <c r="E12" s="39" t="s">
        <v>4</v>
      </c>
      <c r="F12" s="35">
        <v>1</v>
      </c>
      <c r="G12" s="157">
        <v>0</v>
      </c>
      <c r="H12" s="37">
        <v>0</v>
      </c>
      <c r="I12" s="179"/>
      <c r="J12" s="149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9"/>
      <c r="U12" s="39"/>
      <c r="V12" s="99">
        <f t="shared" si="0"/>
        <v>1</v>
      </c>
      <c r="W12" s="202">
        <v>2</v>
      </c>
    </row>
    <row r="13" spans="1:23" s="33" customFormat="1" ht="15" customHeight="1">
      <c r="A13" s="39">
        <v>9</v>
      </c>
      <c r="B13" s="39">
        <v>9</v>
      </c>
      <c r="C13" s="39" t="s">
        <v>73</v>
      </c>
      <c r="D13" s="40" t="s">
        <v>126</v>
      </c>
      <c r="E13" s="39" t="s">
        <v>4</v>
      </c>
      <c r="F13" s="35">
        <v>1</v>
      </c>
      <c r="G13" s="157">
        <v>0</v>
      </c>
      <c r="H13" s="37">
        <v>0</v>
      </c>
      <c r="I13" s="179"/>
      <c r="J13" s="149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9"/>
      <c r="U13" s="39"/>
      <c r="V13" s="99">
        <f t="shared" si="0"/>
        <v>1</v>
      </c>
      <c r="W13" s="134">
        <v>1</v>
      </c>
    </row>
    <row r="14" spans="1:23" s="33" customFormat="1" ht="15" customHeight="1">
      <c r="A14" s="39">
        <v>10</v>
      </c>
      <c r="B14" s="39">
        <v>10</v>
      </c>
      <c r="C14" s="39" t="s">
        <v>74</v>
      </c>
      <c r="D14" s="40" t="s">
        <v>126</v>
      </c>
      <c r="E14" s="39" t="s">
        <v>4</v>
      </c>
      <c r="F14" s="35">
        <v>1</v>
      </c>
      <c r="G14" s="157">
        <v>0</v>
      </c>
      <c r="H14" s="37">
        <v>0</v>
      </c>
      <c r="I14" s="179"/>
      <c r="J14" s="149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9"/>
      <c r="U14" s="39"/>
      <c r="V14" s="99">
        <f t="shared" si="0"/>
        <v>1</v>
      </c>
      <c r="W14" s="134">
        <v>1</v>
      </c>
    </row>
    <row r="15" spans="1:23" s="133" customFormat="1" ht="28.5" customHeight="1">
      <c r="A15" s="152">
        <v>11</v>
      </c>
      <c r="B15" s="152">
        <v>11</v>
      </c>
      <c r="C15" s="152" t="s">
        <v>75</v>
      </c>
      <c r="D15" s="201" t="s">
        <v>127</v>
      </c>
      <c r="E15" s="154" t="s">
        <v>3</v>
      </c>
      <c r="F15" s="154">
        <v>2</v>
      </c>
      <c r="G15" s="158">
        <v>0</v>
      </c>
      <c r="H15" s="152">
        <v>0</v>
      </c>
      <c r="I15" s="179"/>
      <c r="J15" s="155">
        <v>0</v>
      </c>
      <c r="K15" s="152">
        <v>0</v>
      </c>
      <c r="L15" s="214">
        <v>1</v>
      </c>
      <c r="M15" s="152">
        <v>0</v>
      </c>
      <c r="N15" s="152">
        <v>0</v>
      </c>
      <c r="O15" s="152">
        <v>0</v>
      </c>
      <c r="P15" s="152">
        <v>0</v>
      </c>
      <c r="Q15" s="152">
        <v>0</v>
      </c>
      <c r="R15" s="152">
        <v>0</v>
      </c>
      <c r="S15" s="154">
        <v>1</v>
      </c>
      <c r="T15" s="199" t="s">
        <v>546</v>
      </c>
      <c r="U15" s="191" t="s">
        <v>547</v>
      </c>
      <c r="V15" s="99">
        <f>F15+G15+L15+K15+M15+N15+O15+P15+Q15-S15</f>
        <v>2</v>
      </c>
      <c r="W15" s="202">
        <v>4</v>
      </c>
    </row>
    <row r="16" spans="1:23" s="33" customFormat="1" ht="15" customHeight="1">
      <c r="A16" s="39">
        <v>12</v>
      </c>
      <c r="B16" s="39">
        <v>12</v>
      </c>
      <c r="C16" s="39" t="s">
        <v>76</v>
      </c>
      <c r="D16" s="36" t="s">
        <v>128</v>
      </c>
      <c r="E16" s="39" t="s">
        <v>4</v>
      </c>
      <c r="F16" s="35">
        <v>1</v>
      </c>
      <c r="G16" s="157">
        <v>0</v>
      </c>
      <c r="H16" s="37">
        <v>0</v>
      </c>
      <c r="I16" s="179"/>
      <c r="J16" s="149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9"/>
      <c r="U16" s="39"/>
      <c r="V16" s="99">
        <f>F16+G16+L16+K16+M16+N16+O16-S16</f>
        <v>1</v>
      </c>
      <c r="W16" s="134">
        <v>1</v>
      </c>
    </row>
    <row r="17" spans="1:23" s="33" customFormat="1" ht="15" customHeight="1">
      <c r="A17" s="39">
        <v>13</v>
      </c>
      <c r="B17" s="39">
        <v>13</v>
      </c>
      <c r="C17" s="39" t="s">
        <v>77</v>
      </c>
      <c r="D17" s="36" t="s">
        <v>128</v>
      </c>
      <c r="E17" s="39" t="s">
        <v>4</v>
      </c>
      <c r="F17" s="35">
        <v>1</v>
      </c>
      <c r="G17" s="157">
        <v>0</v>
      </c>
      <c r="H17" s="37">
        <v>0</v>
      </c>
      <c r="I17" s="179"/>
      <c r="J17" s="149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9"/>
      <c r="U17" s="39"/>
      <c r="V17" s="99">
        <f t="shared" ref="V17:V37" si="1">F17+G17+J17+K17+L17+M17+N17+O17-S17</f>
        <v>1</v>
      </c>
      <c r="W17" s="134">
        <v>1</v>
      </c>
    </row>
    <row r="18" spans="1:23" s="33" customFormat="1" ht="15" customHeight="1">
      <c r="A18" s="39">
        <v>14</v>
      </c>
      <c r="B18" s="39">
        <v>14</v>
      </c>
      <c r="C18" s="39" t="s">
        <v>78</v>
      </c>
      <c r="D18" s="36" t="s">
        <v>128</v>
      </c>
      <c r="E18" s="39" t="s">
        <v>4</v>
      </c>
      <c r="F18" s="35">
        <v>1</v>
      </c>
      <c r="G18" s="157">
        <v>0</v>
      </c>
      <c r="H18" s="37">
        <v>0</v>
      </c>
      <c r="I18" s="179"/>
      <c r="J18" s="149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9"/>
      <c r="U18" s="39"/>
      <c r="V18" s="99">
        <f t="shared" si="1"/>
        <v>1</v>
      </c>
      <c r="W18" s="134">
        <v>1</v>
      </c>
    </row>
    <row r="19" spans="1:23" s="33" customFormat="1" ht="15" customHeight="1">
      <c r="A19" s="39">
        <v>15</v>
      </c>
      <c r="B19" s="39">
        <v>15</v>
      </c>
      <c r="C19" s="39" t="s">
        <v>79</v>
      </c>
      <c r="D19" s="36" t="s">
        <v>129</v>
      </c>
      <c r="E19" s="39" t="s">
        <v>4</v>
      </c>
      <c r="F19" s="35">
        <v>1</v>
      </c>
      <c r="G19" s="157">
        <v>0</v>
      </c>
      <c r="H19" s="37">
        <v>0</v>
      </c>
      <c r="I19" s="179"/>
      <c r="J19" s="149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9"/>
      <c r="U19" s="39"/>
      <c r="V19" s="99">
        <f t="shared" si="1"/>
        <v>1</v>
      </c>
      <c r="W19" s="134">
        <v>1</v>
      </c>
    </row>
    <row r="20" spans="1:23" s="33" customFormat="1" ht="15" customHeight="1">
      <c r="A20" s="39">
        <v>16</v>
      </c>
      <c r="B20" s="39">
        <v>16</v>
      </c>
      <c r="C20" s="39" t="s">
        <v>80</v>
      </c>
      <c r="D20" s="36" t="s">
        <v>129</v>
      </c>
      <c r="E20" s="39" t="s">
        <v>3</v>
      </c>
      <c r="F20" s="35">
        <v>1</v>
      </c>
      <c r="G20" s="157">
        <v>0</v>
      </c>
      <c r="H20" s="37">
        <v>0</v>
      </c>
      <c r="I20" s="179"/>
      <c r="J20" s="149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9"/>
      <c r="U20" s="39"/>
      <c r="V20" s="99">
        <f t="shared" si="1"/>
        <v>1</v>
      </c>
      <c r="W20" s="134">
        <v>1</v>
      </c>
    </row>
    <row r="21" spans="1:23" s="33" customFormat="1" ht="15" customHeight="1">
      <c r="A21" s="39">
        <v>17</v>
      </c>
      <c r="B21" s="39">
        <v>17</v>
      </c>
      <c r="C21" s="39" t="s">
        <v>81</v>
      </c>
      <c r="D21" s="36" t="s">
        <v>129</v>
      </c>
      <c r="E21" s="39" t="s">
        <v>3</v>
      </c>
      <c r="F21" s="35">
        <v>1</v>
      </c>
      <c r="G21" s="157">
        <v>0</v>
      </c>
      <c r="H21" s="37">
        <v>0</v>
      </c>
      <c r="I21" s="179"/>
      <c r="J21" s="149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9"/>
      <c r="U21" s="39"/>
      <c r="V21" s="99">
        <f t="shared" si="1"/>
        <v>1</v>
      </c>
      <c r="W21" s="134">
        <v>1</v>
      </c>
    </row>
    <row r="22" spans="1:23" s="33" customFormat="1" ht="15" customHeight="1">
      <c r="A22" s="39">
        <v>18</v>
      </c>
      <c r="B22" s="39">
        <v>18</v>
      </c>
      <c r="C22" s="39" t="s">
        <v>82</v>
      </c>
      <c r="D22" s="36" t="s">
        <v>129</v>
      </c>
      <c r="E22" s="39" t="s">
        <v>3</v>
      </c>
      <c r="F22" s="35">
        <v>1</v>
      </c>
      <c r="G22" s="157">
        <v>0</v>
      </c>
      <c r="H22" s="37">
        <v>0</v>
      </c>
      <c r="I22" s="179"/>
      <c r="J22" s="149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9"/>
      <c r="U22" s="39"/>
      <c r="V22" s="99">
        <f t="shared" si="1"/>
        <v>1</v>
      </c>
      <c r="W22" s="202">
        <v>2</v>
      </c>
    </row>
    <row r="23" spans="1:23" s="33" customFormat="1" ht="15.75" customHeight="1">
      <c r="A23" s="39">
        <v>19</v>
      </c>
      <c r="B23" s="39">
        <v>19</v>
      </c>
      <c r="C23" s="39" t="s">
        <v>83</v>
      </c>
      <c r="D23" s="36" t="s">
        <v>129</v>
      </c>
      <c r="E23" s="39" t="s">
        <v>3</v>
      </c>
      <c r="F23" s="35">
        <v>1</v>
      </c>
      <c r="G23" s="157">
        <v>0</v>
      </c>
      <c r="H23" s="37">
        <v>0</v>
      </c>
      <c r="I23" s="179"/>
      <c r="J23" s="149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9"/>
      <c r="U23" s="39"/>
      <c r="V23" s="99">
        <f t="shared" si="1"/>
        <v>1</v>
      </c>
      <c r="W23" s="134">
        <v>1</v>
      </c>
    </row>
    <row r="24" spans="1:23" s="33" customFormat="1" ht="38.25" customHeight="1">
      <c r="A24" s="39">
        <v>20</v>
      </c>
      <c r="B24" s="39">
        <v>20</v>
      </c>
      <c r="C24" s="39" t="s">
        <v>84</v>
      </c>
      <c r="D24" s="36" t="s">
        <v>130</v>
      </c>
      <c r="E24" s="39" t="s">
        <v>3</v>
      </c>
      <c r="F24" s="35">
        <v>1</v>
      </c>
      <c r="G24" s="157">
        <v>0</v>
      </c>
      <c r="H24" s="37">
        <v>0</v>
      </c>
      <c r="I24" s="179"/>
      <c r="J24" s="149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9"/>
      <c r="U24" s="39"/>
      <c r="V24" s="99">
        <f t="shared" si="1"/>
        <v>1</v>
      </c>
      <c r="W24" s="263" t="s">
        <v>765</v>
      </c>
    </row>
    <row r="25" spans="1:23" s="33" customFormat="1" ht="15" customHeight="1">
      <c r="A25" s="39">
        <v>21</v>
      </c>
      <c r="B25" s="39">
        <v>21</v>
      </c>
      <c r="C25" s="39" t="s">
        <v>85</v>
      </c>
      <c r="D25" s="36" t="s">
        <v>131</v>
      </c>
      <c r="E25" s="39" t="s">
        <v>3</v>
      </c>
      <c r="F25" s="35">
        <v>1</v>
      </c>
      <c r="G25" s="157">
        <v>0</v>
      </c>
      <c r="H25" s="37">
        <v>0</v>
      </c>
      <c r="I25" s="179"/>
      <c r="J25" s="149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9"/>
      <c r="U25" s="39"/>
      <c r="V25" s="99">
        <f t="shared" si="1"/>
        <v>1</v>
      </c>
      <c r="W25" s="134">
        <v>1</v>
      </c>
    </row>
    <row r="26" spans="1:23" s="33" customFormat="1" ht="15" customHeight="1">
      <c r="A26" s="39">
        <v>22</v>
      </c>
      <c r="B26" s="39">
        <v>22</v>
      </c>
      <c r="C26" s="39" t="s">
        <v>86</v>
      </c>
      <c r="D26" s="36" t="s">
        <v>132</v>
      </c>
      <c r="E26" s="39" t="s">
        <v>3</v>
      </c>
      <c r="F26" s="35">
        <v>1</v>
      </c>
      <c r="G26" s="157">
        <v>0</v>
      </c>
      <c r="H26" s="37">
        <v>0</v>
      </c>
      <c r="I26" s="179"/>
      <c r="J26" s="149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9"/>
      <c r="U26" s="39"/>
      <c r="V26" s="99">
        <f t="shared" si="1"/>
        <v>1</v>
      </c>
      <c r="W26" s="134">
        <v>1</v>
      </c>
    </row>
    <row r="27" spans="1:23" s="33" customFormat="1" ht="15" customHeight="1">
      <c r="A27" s="39">
        <v>23</v>
      </c>
      <c r="B27" s="39">
        <v>23</v>
      </c>
      <c r="C27" s="39" t="s">
        <v>87</v>
      </c>
      <c r="D27" s="36" t="s">
        <v>131</v>
      </c>
      <c r="E27" s="39" t="s">
        <v>3</v>
      </c>
      <c r="F27" s="35">
        <v>1</v>
      </c>
      <c r="G27" s="157">
        <v>0</v>
      </c>
      <c r="H27" s="37">
        <v>0</v>
      </c>
      <c r="I27" s="179"/>
      <c r="J27" s="149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9"/>
      <c r="U27" s="39"/>
      <c r="V27" s="99">
        <f t="shared" si="1"/>
        <v>1</v>
      </c>
      <c r="W27" s="134">
        <v>1</v>
      </c>
    </row>
    <row r="28" spans="1:23" s="33" customFormat="1" ht="15" customHeight="1">
      <c r="A28" s="39">
        <v>24</v>
      </c>
      <c r="B28" s="39">
        <v>24</v>
      </c>
      <c r="C28" s="39" t="s">
        <v>88</v>
      </c>
      <c r="D28" s="36" t="s">
        <v>131</v>
      </c>
      <c r="E28" s="39" t="s">
        <v>3</v>
      </c>
      <c r="F28" s="35">
        <v>1</v>
      </c>
      <c r="G28" s="157">
        <v>0</v>
      </c>
      <c r="H28" s="37">
        <v>0</v>
      </c>
      <c r="I28" s="179"/>
      <c r="J28" s="149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9"/>
      <c r="U28" s="39"/>
      <c r="V28" s="99">
        <f t="shared" si="1"/>
        <v>1</v>
      </c>
      <c r="W28" s="134">
        <v>1</v>
      </c>
    </row>
    <row r="29" spans="1:23" s="33" customFormat="1" ht="15" customHeight="1">
      <c r="A29" s="39">
        <v>25</v>
      </c>
      <c r="B29" s="39">
        <v>25</v>
      </c>
      <c r="C29" s="39" t="s">
        <v>89</v>
      </c>
      <c r="D29" s="36" t="s">
        <v>131</v>
      </c>
      <c r="E29" s="39" t="s">
        <v>3</v>
      </c>
      <c r="F29" s="35">
        <v>1</v>
      </c>
      <c r="G29" s="157">
        <v>0</v>
      </c>
      <c r="H29" s="37">
        <v>0</v>
      </c>
      <c r="I29" s="179"/>
      <c r="J29" s="149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9"/>
      <c r="U29" s="39"/>
      <c r="V29" s="99">
        <f t="shared" si="1"/>
        <v>1</v>
      </c>
      <c r="W29" s="134">
        <v>1</v>
      </c>
    </row>
    <row r="30" spans="1:23" s="33" customFormat="1" ht="15" customHeight="1">
      <c r="A30" s="39">
        <v>26</v>
      </c>
      <c r="B30" s="39">
        <v>26</v>
      </c>
      <c r="C30" s="39" t="s">
        <v>90</v>
      </c>
      <c r="D30" s="36" t="s">
        <v>131</v>
      </c>
      <c r="E30" s="39" t="s">
        <v>3</v>
      </c>
      <c r="F30" s="35">
        <v>1</v>
      </c>
      <c r="G30" s="157">
        <v>0</v>
      </c>
      <c r="H30" s="37">
        <v>0</v>
      </c>
      <c r="I30" s="179"/>
      <c r="J30" s="149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9"/>
      <c r="U30" s="39"/>
      <c r="V30" s="99">
        <f t="shared" si="1"/>
        <v>1</v>
      </c>
      <c r="W30" s="134">
        <v>1</v>
      </c>
    </row>
    <row r="31" spans="1:23" s="33" customFormat="1" ht="15" customHeight="1">
      <c r="A31" s="39">
        <v>27</v>
      </c>
      <c r="B31" s="39">
        <v>27</v>
      </c>
      <c r="C31" s="39" t="s">
        <v>91</v>
      </c>
      <c r="D31" s="36" t="s">
        <v>131</v>
      </c>
      <c r="E31" s="39" t="s">
        <v>3</v>
      </c>
      <c r="F31" s="35">
        <v>1</v>
      </c>
      <c r="G31" s="157">
        <v>0</v>
      </c>
      <c r="H31" s="37">
        <v>0</v>
      </c>
      <c r="I31" s="179"/>
      <c r="J31" s="149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9"/>
      <c r="U31" s="39"/>
      <c r="V31" s="99">
        <f t="shared" si="1"/>
        <v>1</v>
      </c>
      <c r="W31" s="134">
        <v>1</v>
      </c>
    </row>
    <row r="32" spans="1:23" s="33" customFormat="1" ht="15" customHeight="1">
      <c r="A32" s="39">
        <v>28</v>
      </c>
      <c r="B32" s="39">
        <v>28</v>
      </c>
      <c r="C32" s="39" t="s">
        <v>92</v>
      </c>
      <c r="D32" s="36" t="s">
        <v>131</v>
      </c>
      <c r="E32" s="39" t="s">
        <v>3</v>
      </c>
      <c r="F32" s="35">
        <v>1</v>
      </c>
      <c r="G32" s="157">
        <v>0</v>
      </c>
      <c r="H32" s="37">
        <v>0</v>
      </c>
      <c r="I32" s="179"/>
      <c r="J32" s="149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9"/>
      <c r="U32" s="39"/>
      <c r="V32" s="99">
        <f t="shared" si="1"/>
        <v>1</v>
      </c>
      <c r="W32" s="134">
        <v>1</v>
      </c>
    </row>
    <row r="33" spans="1:23" s="33" customFormat="1" ht="15" customHeight="1">
      <c r="A33" s="39">
        <v>29</v>
      </c>
      <c r="B33" s="39">
        <v>29</v>
      </c>
      <c r="C33" s="39" t="s">
        <v>93</v>
      </c>
      <c r="D33" s="36" t="s">
        <v>131</v>
      </c>
      <c r="E33" s="39" t="s">
        <v>3</v>
      </c>
      <c r="F33" s="35">
        <v>1</v>
      </c>
      <c r="G33" s="157">
        <v>0</v>
      </c>
      <c r="H33" s="37">
        <v>0</v>
      </c>
      <c r="I33" s="179"/>
      <c r="J33" s="149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9"/>
      <c r="U33" s="39"/>
      <c r="V33" s="99">
        <f t="shared" si="1"/>
        <v>1</v>
      </c>
      <c r="W33" s="134">
        <v>1</v>
      </c>
    </row>
    <row r="34" spans="1:23" s="33" customFormat="1" ht="15" customHeight="1">
      <c r="A34" s="39">
        <v>30</v>
      </c>
      <c r="B34" s="39">
        <v>30</v>
      </c>
      <c r="C34" s="39" t="s">
        <v>94</v>
      </c>
      <c r="D34" s="41" t="s">
        <v>133</v>
      </c>
      <c r="E34" s="39" t="s">
        <v>3</v>
      </c>
      <c r="F34" s="35">
        <v>1</v>
      </c>
      <c r="G34" s="157">
        <v>0</v>
      </c>
      <c r="H34" s="37">
        <v>0</v>
      </c>
      <c r="I34" s="179"/>
      <c r="J34" s="149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9"/>
      <c r="U34" s="39"/>
      <c r="V34" s="99">
        <f t="shared" si="1"/>
        <v>1</v>
      </c>
      <c r="W34" s="134">
        <v>1</v>
      </c>
    </row>
    <row r="35" spans="1:23" s="33" customFormat="1" ht="15" customHeight="1">
      <c r="A35" s="39">
        <v>31</v>
      </c>
      <c r="B35" s="39">
        <v>31</v>
      </c>
      <c r="C35" s="39" t="s">
        <v>95</v>
      </c>
      <c r="D35" s="41" t="s">
        <v>133</v>
      </c>
      <c r="E35" s="39" t="s">
        <v>3</v>
      </c>
      <c r="F35" s="35">
        <v>1</v>
      </c>
      <c r="G35" s="157">
        <v>0</v>
      </c>
      <c r="H35" s="37">
        <v>0</v>
      </c>
      <c r="I35" s="179"/>
      <c r="J35" s="149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9"/>
      <c r="U35" s="39"/>
      <c r="V35" s="99">
        <f t="shared" si="1"/>
        <v>1</v>
      </c>
      <c r="W35" s="134">
        <v>1</v>
      </c>
    </row>
    <row r="36" spans="1:23" s="33" customFormat="1" ht="15" customHeight="1">
      <c r="A36" s="39">
        <v>32</v>
      </c>
      <c r="B36" s="39">
        <v>32</v>
      </c>
      <c r="C36" s="39" t="s">
        <v>96</v>
      </c>
      <c r="D36" s="36" t="s">
        <v>134</v>
      </c>
      <c r="E36" s="39" t="s">
        <v>3</v>
      </c>
      <c r="F36" s="35">
        <v>1</v>
      </c>
      <c r="G36" s="157">
        <v>0</v>
      </c>
      <c r="H36" s="37">
        <v>0</v>
      </c>
      <c r="I36" s="179"/>
      <c r="J36" s="149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9"/>
      <c r="U36" s="39"/>
      <c r="V36" s="99">
        <f t="shared" si="1"/>
        <v>1</v>
      </c>
      <c r="W36" s="134">
        <v>1</v>
      </c>
    </row>
    <row r="37" spans="1:23" s="33" customFormat="1" ht="15" customHeight="1">
      <c r="A37" s="39">
        <v>33</v>
      </c>
      <c r="B37" s="39">
        <v>33</v>
      </c>
      <c r="C37" s="39" t="s">
        <v>97</v>
      </c>
      <c r="D37" s="41" t="s">
        <v>135</v>
      </c>
      <c r="E37" s="39" t="s">
        <v>3</v>
      </c>
      <c r="F37" s="35">
        <v>1</v>
      </c>
      <c r="G37" s="157">
        <v>0</v>
      </c>
      <c r="H37" s="37">
        <v>0</v>
      </c>
      <c r="I37" s="179"/>
      <c r="J37" s="149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9"/>
      <c r="U37" s="39"/>
      <c r="V37" s="99">
        <f t="shared" si="1"/>
        <v>1</v>
      </c>
      <c r="W37" s="134">
        <v>1</v>
      </c>
    </row>
    <row r="38" spans="1:23" s="133" customFormat="1" ht="15" customHeight="1">
      <c r="A38" s="37">
        <v>34</v>
      </c>
      <c r="B38" s="37">
        <v>34</v>
      </c>
      <c r="C38" s="37" t="s">
        <v>98</v>
      </c>
      <c r="D38" s="150" t="s">
        <v>578</v>
      </c>
      <c r="E38" s="39" t="s">
        <v>3</v>
      </c>
      <c r="F38" s="154">
        <v>1</v>
      </c>
      <c r="G38" s="158">
        <v>0</v>
      </c>
      <c r="H38" s="152">
        <v>0</v>
      </c>
      <c r="I38" s="179"/>
      <c r="J38" s="228">
        <v>1</v>
      </c>
      <c r="K38" s="152">
        <v>0</v>
      </c>
      <c r="L38" s="152">
        <v>0</v>
      </c>
      <c r="M38" s="152">
        <v>0</v>
      </c>
      <c r="N38" s="152">
        <v>0</v>
      </c>
      <c r="O38" s="152">
        <v>0</v>
      </c>
      <c r="P38" s="152">
        <v>0</v>
      </c>
      <c r="Q38" s="152">
        <v>0</v>
      </c>
      <c r="R38" s="152">
        <v>0</v>
      </c>
      <c r="S38" s="152">
        <v>1</v>
      </c>
      <c r="T38" s="199" t="s">
        <v>548</v>
      </c>
      <c r="U38" s="192" t="s">
        <v>544</v>
      </c>
      <c r="V38" s="99">
        <f>F38+G38+J38+K38+L38+M38+N38+O38+P38+Q38-S38</f>
        <v>1</v>
      </c>
      <c r="W38" s="134">
        <v>1</v>
      </c>
    </row>
    <row r="39" spans="1:23" s="33" customFormat="1" ht="15" customHeight="1">
      <c r="A39" s="39">
        <v>35</v>
      </c>
      <c r="B39" s="39">
        <v>35</v>
      </c>
      <c r="C39" s="39" t="s">
        <v>99</v>
      </c>
      <c r="D39" s="36" t="s">
        <v>136</v>
      </c>
      <c r="E39" s="39" t="s">
        <v>3</v>
      </c>
      <c r="F39" s="35">
        <v>1</v>
      </c>
      <c r="G39" s="157">
        <v>0</v>
      </c>
      <c r="H39" s="37">
        <v>0</v>
      </c>
      <c r="I39" s="179"/>
      <c r="J39" s="149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9"/>
      <c r="U39" s="39"/>
      <c r="V39" s="99">
        <f t="shared" ref="V39:V54" si="2">F39+G39+J39+K39+L39+M39+N39+O39-S39</f>
        <v>1</v>
      </c>
      <c r="W39" s="134">
        <v>1</v>
      </c>
    </row>
    <row r="40" spans="1:23" s="33" customFormat="1" ht="15" customHeight="1">
      <c r="A40" s="39">
        <v>36</v>
      </c>
      <c r="B40" s="39">
        <v>36</v>
      </c>
      <c r="C40" s="39" t="s">
        <v>100</v>
      </c>
      <c r="D40" s="36" t="s">
        <v>130</v>
      </c>
      <c r="E40" s="39" t="s">
        <v>3</v>
      </c>
      <c r="F40" s="35">
        <v>1</v>
      </c>
      <c r="G40" s="157">
        <v>0</v>
      </c>
      <c r="H40" s="37">
        <v>0</v>
      </c>
      <c r="I40" s="179"/>
      <c r="J40" s="149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9"/>
      <c r="U40" s="39"/>
      <c r="V40" s="99">
        <f t="shared" si="2"/>
        <v>1</v>
      </c>
      <c r="W40" s="202">
        <v>2</v>
      </c>
    </row>
    <row r="41" spans="1:23" s="33" customFormat="1" ht="15" customHeight="1">
      <c r="A41" s="39">
        <v>37</v>
      </c>
      <c r="B41" s="39">
        <v>37</v>
      </c>
      <c r="C41" s="39" t="s">
        <v>101</v>
      </c>
      <c r="D41" s="36" t="s">
        <v>137</v>
      </c>
      <c r="E41" s="39" t="s">
        <v>3</v>
      </c>
      <c r="F41" s="35">
        <v>1</v>
      </c>
      <c r="G41" s="157">
        <v>0</v>
      </c>
      <c r="H41" s="37">
        <v>0</v>
      </c>
      <c r="I41" s="179"/>
      <c r="J41" s="149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9"/>
      <c r="U41" s="39"/>
      <c r="V41" s="99">
        <f t="shared" si="2"/>
        <v>1</v>
      </c>
      <c r="W41" s="202">
        <v>2</v>
      </c>
    </row>
    <row r="42" spans="1:23" s="33" customFormat="1" ht="15" customHeight="1">
      <c r="A42" s="39">
        <v>38</v>
      </c>
      <c r="B42" s="39">
        <v>38</v>
      </c>
      <c r="C42" s="39" t="s">
        <v>102</v>
      </c>
      <c r="D42" s="36" t="s">
        <v>137</v>
      </c>
      <c r="E42" s="39" t="s">
        <v>3</v>
      </c>
      <c r="F42" s="35">
        <v>1</v>
      </c>
      <c r="G42" s="157">
        <v>0</v>
      </c>
      <c r="H42" s="37">
        <v>0</v>
      </c>
      <c r="I42" s="179"/>
      <c r="J42" s="149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9"/>
      <c r="U42" s="39"/>
      <c r="V42" s="99">
        <f t="shared" si="2"/>
        <v>1</v>
      </c>
      <c r="W42" s="202">
        <v>2</v>
      </c>
    </row>
    <row r="43" spans="1:23" s="33" customFormat="1" ht="15" customHeight="1">
      <c r="A43" s="39">
        <v>39</v>
      </c>
      <c r="B43" s="39">
        <v>39</v>
      </c>
      <c r="C43" s="39" t="s">
        <v>103</v>
      </c>
      <c r="D43" s="36" t="s">
        <v>137</v>
      </c>
      <c r="E43" s="39" t="s">
        <v>3</v>
      </c>
      <c r="F43" s="35">
        <v>1</v>
      </c>
      <c r="G43" s="157">
        <v>0</v>
      </c>
      <c r="H43" s="37">
        <v>0</v>
      </c>
      <c r="I43" s="179"/>
      <c r="J43" s="149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9"/>
      <c r="U43" s="39"/>
      <c r="V43" s="99">
        <f t="shared" si="2"/>
        <v>1</v>
      </c>
      <c r="W43" s="202">
        <v>2</v>
      </c>
    </row>
    <row r="44" spans="1:23" s="33" customFormat="1" ht="15" customHeight="1">
      <c r="A44" s="39">
        <v>40</v>
      </c>
      <c r="B44" s="39">
        <v>40</v>
      </c>
      <c r="C44" s="39" t="s">
        <v>104</v>
      </c>
      <c r="D44" s="36" t="s">
        <v>137</v>
      </c>
      <c r="E44" s="39" t="s">
        <v>3</v>
      </c>
      <c r="F44" s="35">
        <v>1</v>
      </c>
      <c r="G44" s="157">
        <v>0</v>
      </c>
      <c r="H44" s="37">
        <v>0</v>
      </c>
      <c r="I44" s="179"/>
      <c r="J44" s="149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9"/>
      <c r="U44" s="39"/>
      <c r="V44" s="99">
        <f t="shared" si="2"/>
        <v>1</v>
      </c>
      <c r="W44" s="202">
        <v>2</v>
      </c>
    </row>
    <row r="45" spans="1:23" s="33" customFormat="1" ht="15" customHeight="1">
      <c r="A45" s="39">
        <v>41</v>
      </c>
      <c r="B45" s="39">
        <v>41</v>
      </c>
      <c r="C45" s="39" t="s">
        <v>105</v>
      </c>
      <c r="D45" s="36" t="s">
        <v>137</v>
      </c>
      <c r="E45" s="39" t="s">
        <v>3</v>
      </c>
      <c r="F45" s="35">
        <v>1</v>
      </c>
      <c r="G45" s="157">
        <v>0</v>
      </c>
      <c r="H45" s="37">
        <v>0</v>
      </c>
      <c r="I45" s="179"/>
      <c r="J45" s="149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9"/>
      <c r="U45" s="39"/>
      <c r="V45" s="99">
        <f t="shared" si="2"/>
        <v>1</v>
      </c>
      <c r="W45" s="202">
        <v>2</v>
      </c>
    </row>
    <row r="46" spans="1:23" s="33" customFormat="1" ht="15" customHeight="1">
      <c r="A46" s="39">
        <v>42</v>
      </c>
      <c r="B46" s="39">
        <v>42</v>
      </c>
      <c r="C46" s="39" t="s">
        <v>106</v>
      </c>
      <c r="D46" s="36" t="s">
        <v>138</v>
      </c>
      <c r="E46" s="39" t="s">
        <v>3</v>
      </c>
      <c r="F46" s="35">
        <v>1</v>
      </c>
      <c r="G46" s="157">
        <v>0</v>
      </c>
      <c r="H46" s="37">
        <v>0</v>
      </c>
      <c r="I46" s="179"/>
      <c r="J46" s="149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9"/>
      <c r="U46" s="39"/>
      <c r="V46" s="99">
        <f t="shared" si="2"/>
        <v>1</v>
      </c>
      <c r="W46" s="134">
        <v>1</v>
      </c>
    </row>
    <row r="47" spans="1:23" s="33" customFormat="1" ht="15" customHeight="1">
      <c r="A47" s="39">
        <v>43</v>
      </c>
      <c r="B47" s="39">
        <v>43</v>
      </c>
      <c r="C47" s="39" t="s">
        <v>107</v>
      </c>
      <c r="D47" s="36" t="s">
        <v>138</v>
      </c>
      <c r="E47" s="39" t="s">
        <v>3</v>
      </c>
      <c r="F47" s="35">
        <v>1</v>
      </c>
      <c r="G47" s="157">
        <v>0</v>
      </c>
      <c r="H47" s="37">
        <v>0</v>
      </c>
      <c r="I47" s="179"/>
      <c r="J47" s="149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9"/>
      <c r="U47" s="39"/>
      <c r="V47" s="99">
        <f t="shared" si="2"/>
        <v>1</v>
      </c>
      <c r="W47" s="134">
        <v>1</v>
      </c>
    </row>
    <row r="48" spans="1:23" s="33" customFormat="1" ht="15" customHeight="1">
      <c r="A48" s="39">
        <v>44</v>
      </c>
      <c r="B48" s="39">
        <v>44</v>
      </c>
      <c r="C48" s="39" t="s">
        <v>108</v>
      </c>
      <c r="D48" s="41" t="s">
        <v>139</v>
      </c>
      <c r="E48" s="39" t="s">
        <v>3</v>
      </c>
      <c r="F48" s="35">
        <v>1</v>
      </c>
      <c r="G48" s="157">
        <v>0</v>
      </c>
      <c r="H48" s="37">
        <v>0</v>
      </c>
      <c r="I48" s="179"/>
      <c r="J48" s="149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9"/>
      <c r="U48" s="39"/>
      <c r="V48" s="99">
        <f t="shared" si="2"/>
        <v>1</v>
      </c>
      <c r="W48" s="202">
        <v>2</v>
      </c>
    </row>
    <row r="49" spans="1:25" s="33" customFormat="1" ht="15" customHeight="1">
      <c r="A49" s="39">
        <v>45</v>
      </c>
      <c r="B49" s="39">
        <v>45</v>
      </c>
      <c r="C49" s="39" t="s">
        <v>109</v>
      </c>
      <c r="D49" s="36" t="s">
        <v>140</v>
      </c>
      <c r="E49" s="39" t="s">
        <v>3</v>
      </c>
      <c r="F49" s="35">
        <v>1</v>
      </c>
      <c r="G49" s="157">
        <v>0</v>
      </c>
      <c r="H49" s="37">
        <v>0</v>
      </c>
      <c r="I49" s="179"/>
      <c r="J49" s="149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9"/>
      <c r="U49" s="39"/>
      <c r="V49" s="99">
        <f t="shared" si="2"/>
        <v>1</v>
      </c>
      <c r="W49" s="134">
        <v>1</v>
      </c>
    </row>
    <row r="50" spans="1:25" s="33" customFormat="1" ht="15" customHeight="1">
      <c r="A50" s="39">
        <v>46</v>
      </c>
      <c r="B50" s="39">
        <v>46</v>
      </c>
      <c r="C50" s="39" t="s">
        <v>110</v>
      </c>
      <c r="D50" s="36" t="s">
        <v>141</v>
      </c>
      <c r="E50" s="39" t="s">
        <v>3</v>
      </c>
      <c r="F50" s="35">
        <v>1</v>
      </c>
      <c r="G50" s="157">
        <v>0</v>
      </c>
      <c r="H50" s="37">
        <v>0</v>
      </c>
      <c r="I50" s="179"/>
      <c r="J50" s="149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9"/>
      <c r="U50" s="39"/>
      <c r="V50" s="99">
        <f t="shared" si="2"/>
        <v>1</v>
      </c>
      <c r="W50" s="134">
        <v>1</v>
      </c>
    </row>
    <row r="51" spans="1:25" s="33" customFormat="1" ht="15" customHeight="1">
      <c r="A51" s="39">
        <v>47</v>
      </c>
      <c r="B51" s="39">
        <v>47</v>
      </c>
      <c r="C51" s="39" t="s">
        <v>111</v>
      </c>
      <c r="D51" s="36" t="s">
        <v>141</v>
      </c>
      <c r="E51" s="39" t="s">
        <v>3</v>
      </c>
      <c r="F51" s="35">
        <v>1</v>
      </c>
      <c r="G51" s="157">
        <v>0</v>
      </c>
      <c r="H51" s="37">
        <v>0</v>
      </c>
      <c r="I51" s="179"/>
      <c r="J51" s="149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9"/>
      <c r="U51" s="39"/>
      <c r="V51" s="99">
        <f t="shared" si="2"/>
        <v>1</v>
      </c>
      <c r="W51" s="134">
        <v>1</v>
      </c>
    </row>
    <row r="52" spans="1:25" s="33" customFormat="1" ht="15" customHeight="1">
      <c r="A52" s="39">
        <v>48</v>
      </c>
      <c r="B52" s="39">
        <v>48</v>
      </c>
      <c r="C52" s="39" t="s">
        <v>112</v>
      </c>
      <c r="D52" s="36" t="s">
        <v>142</v>
      </c>
      <c r="E52" s="39" t="s">
        <v>3</v>
      </c>
      <c r="F52" s="35">
        <v>2</v>
      </c>
      <c r="G52" s="157">
        <v>0</v>
      </c>
      <c r="H52" s="37">
        <v>0</v>
      </c>
      <c r="I52" s="179"/>
      <c r="J52" s="149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9"/>
      <c r="U52" s="39"/>
      <c r="V52" s="99">
        <f t="shared" si="2"/>
        <v>2</v>
      </c>
      <c r="W52" s="134">
        <v>2</v>
      </c>
    </row>
    <row r="53" spans="1:25" s="33" customFormat="1" ht="15" customHeight="1">
      <c r="A53" s="39">
        <v>49</v>
      </c>
      <c r="B53" s="39">
        <v>49</v>
      </c>
      <c r="C53" s="39" t="s">
        <v>113</v>
      </c>
      <c r="D53" s="36" t="s">
        <v>143</v>
      </c>
      <c r="E53" s="39" t="s">
        <v>3</v>
      </c>
      <c r="F53" s="35">
        <v>2</v>
      </c>
      <c r="G53" s="157">
        <v>0</v>
      </c>
      <c r="H53" s="37">
        <v>0</v>
      </c>
      <c r="I53" s="179"/>
      <c r="J53" s="149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9"/>
      <c r="U53" s="39"/>
      <c r="V53" s="99">
        <f t="shared" si="2"/>
        <v>2</v>
      </c>
      <c r="W53" s="134">
        <v>2</v>
      </c>
    </row>
    <row r="54" spans="1:25" s="33" customFormat="1" ht="15" customHeight="1">
      <c r="A54" s="39">
        <v>50</v>
      </c>
      <c r="B54" s="39">
        <v>50</v>
      </c>
      <c r="C54" s="39" t="s">
        <v>114</v>
      </c>
      <c r="D54" s="36" t="s">
        <v>143</v>
      </c>
      <c r="E54" s="39" t="s">
        <v>3</v>
      </c>
      <c r="F54" s="35">
        <v>2</v>
      </c>
      <c r="G54" s="157">
        <v>0</v>
      </c>
      <c r="H54" s="37">
        <v>0</v>
      </c>
      <c r="I54" s="179"/>
      <c r="J54" s="149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46"/>
      <c r="U54" s="46"/>
      <c r="V54" s="99">
        <f t="shared" si="2"/>
        <v>2</v>
      </c>
      <c r="W54" s="134">
        <v>2</v>
      </c>
    </row>
    <row r="55" spans="1:25" s="33" customFormat="1" ht="15" customHeight="1">
      <c r="A55" s="152">
        <v>51</v>
      </c>
      <c r="B55" s="152">
        <v>51</v>
      </c>
      <c r="C55" s="152" t="s">
        <v>115</v>
      </c>
      <c r="D55" s="153" t="s">
        <v>144</v>
      </c>
      <c r="E55" s="39" t="s">
        <v>3</v>
      </c>
      <c r="F55" s="154">
        <v>1</v>
      </c>
      <c r="G55" s="158">
        <v>0</v>
      </c>
      <c r="H55" s="152">
        <v>0</v>
      </c>
      <c r="I55" s="179"/>
      <c r="J55" s="155">
        <v>0</v>
      </c>
      <c r="K55" s="152">
        <v>0</v>
      </c>
      <c r="L55" s="152">
        <v>0</v>
      </c>
      <c r="M55" s="152">
        <v>0</v>
      </c>
      <c r="N55" s="152">
        <v>0</v>
      </c>
      <c r="O55" s="152">
        <v>0</v>
      </c>
      <c r="P55" s="152">
        <v>0</v>
      </c>
      <c r="Q55" s="152">
        <v>0</v>
      </c>
      <c r="R55" s="152">
        <v>0</v>
      </c>
      <c r="S55" s="152">
        <v>1</v>
      </c>
      <c r="T55" s="152" t="s">
        <v>577</v>
      </c>
      <c r="U55" s="152" t="s">
        <v>576</v>
      </c>
      <c r="V55" s="99">
        <f>F55+G55+J55+K55+L55+M55+N55+O55+P55+Q55-S55</f>
        <v>0</v>
      </c>
      <c r="W55" s="202">
        <v>2</v>
      </c>
    </row>
    <row r="56" spans="1:25" s="33" customFormat="1" ht="15" customHeight="1">
      <c r="A56" s="37">
        <v>52</v>
      </c>
      <c r="B56" s="37">
        <v>52</v>
      </c>
      <c r="C56" s="37" t="s">
        <v>116</v>
      </c>
      <c r="D56" s="211" t="s">
        <v>145</v>
      </c>
      <c r="E56" s="39" t="s">
        <v>3</v>
      </c>
      <c r="F56" s="131">
        <v>1</v>
      </c>
      <c r="G56" s="157">
        <v>0</v>
      </c>
      <c r="H56" s="37">
        <v>0</v>
      </c>
      <c r="I56" s="179"/>
      <c r="J56" s="155">
        <v>0</v>
      </c>
      <c r="K56" s="152">
        <v>0</v>
      </c>
      <c r="L56" s="152">
        <v>0</v>
      </c>
      <c r="M56" s="152">
        <v>0</v>
      </c>
      <c r="N56" s="152">
        <v>0</v>
      </c>
      <c r="O56" s="152">
        <v>0</v>
      </c>
      <c r="P56" s="196">
        <v>1</v>
      </c>
      <c r="Q56" s="152">
        <v>0</v>
      </c>
      <c r="R56" s="152">
        <v>0</v>
      </c>
      <c r="S56" s="152">
        <v>1</v>
      </c>
      <c r="T56" s="152" t="s">
        <v>608</v>
      </c>
      <c r="U56" s="152" t="s">
        <v>609</v>
      </c>
      <c r="V56" s="99">
        <f>F56+G56+J56+K56+L56+M56+N56+O56+P56+Q56-S56</f>
        <v>1</v>
      </c>
      <c r="W56" s="134">
        <v>1</v>
      </c>
    </row>
    <row r="57" spans="1:25" s="33" customFormat="1" ht="15" customHeight="1">
      <c r="A57" s="39">
        <v>53</v>
      </c>
      <c r="B57" s="39">
        <v>53</v>
      </c>
      <c r="C57" s="39" t="s">
        <v>117</v>
      </c>
      <c r="D57" s="36" t="s">
        <v>146</v>
      </c>
      <c r="E57" s="39" t="s">
        <v>3</v>
      </c>
      <c r="F57" s="35">
        <v>1</v>
      </c>
      <c r="G57" s="157">
        <v>0</v>
      </c>
      <c r="H57" s="37">
        <v>0</v>
      </c>
      <c r="I57" s="179"/>
      <c r="J57" s="149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9"/>
      <c r="U57" s="39"/>
      <c r="V57" s="99">
        <f t="shared" ref="V57:V65" si="3">F57+G57+J57+K57+L57+M57+N57+O57-S57</f>
        <v>1</v>
      </c>
      <c r="W57" s="134">
        <v>1</v>
      </c>
    </row>
    <row r="58" spans="1:25" s="33" customFormat="1" ht="15" customHeight="1">
      <c r="A58" s="39">
        <v>54</v>
      </c>
      <c r="B58" s="39">
        <v>54</v>
      </c>
      <c r="C58" s="39" t="s">
        <v>118</v>
      </c>
      <c r="D58" s="41" t="s">
        <v>125</v>
      </c>
      <c r="E58" s="39" t="s">
        <v>3</v>
      </c>
      <c r="F58" s="35">
        <v>2</v>
      </c>
      <c r="G58" s="157">
        <v>0</v>
      </c>
      <c r="H58" s="37">
        <v>0</v>
      </c>
      <c r="I58" s="179"/>
      <c r="J58" s="149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9"/>
      <c r="U58" s="39"/>
      <c r="V58" s="99">
        <f t="shared" si="3"/>
        <v>2</v>
      </c>
      <c r="W58" s="134">
        <v>2</v>
      </c>
    </row>
    <row r="59" spans="1:25" s="33" customFormat="1" ht="15" customHeight="1">
      <c r="A59" s="39">
        <v>55</v>
      </c>
      <c r="B59" s="39">
        <v>55</v>
      </c>
      <c r="C59" s="39" t="s">
        <v>119</v>
      </c>
      <c r="D59" s="36" t="s">
        <v>129</v>
      </c>
      <c r="E59" s="39" t="s">
        <v>3</v>
      </c>
      <c r="F59" s="35">
        <v>1</v>
      </c>
      <c r="G59" s="157">
        <v>0</v>
      </c>
      <c r="H59" s="37">
        <v>0</v>
      </c>
      <c r="I59" s="179"/>
      <c r="J59" s="149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9"/>
      <c r="U59" s="39"/>
      <c r="V59" s="99">
        <f t="shared" si="3"/>
        <v>1</v>
      </c>
      <c r="W59" s="202">
        <v>2</v>
      </c>
    </row>
    <row r="60" spans="1:25" s="33" customFormat="1" ht="15" customHeight="1">
      <c r="A60" s="39">
        <v>1</v>
      </c>
      <c r="B60" s="39">
        <v>56</v>
      </c>
      <c r="C60" s="39" t="s">
        <v>186</v>
      </c>
      <c r="D60" s="34" t="s">
        <v>129</v>
      </c>
      <c r="E60" s="39" t="s">
        <v>3</v>
      </c>
      <c r="F60" s="39">
        <v>0</v>
      </c>
      <c r="G60" s="159">
        <v>1</v>
      </c>
      <c r="H60" s="37">
        <v>0</v>
      </c>
      <c r="I60" s="179"/>
      <c r="J60" s="149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9"/>
      <c r="U60" s="39"/>
      <c r="V60" s="99">
        <f t="shared" si="3"/>
        <v>1</v>
      </c>
      <c r="W60" s="134">
        <v>1</v>
      </c>
    </row>
    <row r="61" spans="1:25" s="33" customFormat="1" ht="15" customHeight="1">
      <c r="A61" s="39">
        <v>2</v>
      </c>
      <c r="B61" s="39">
        <v>57</v>
      </c>
      <c r="C61" s="39" t="s">
        <v>187</v>
      </c>
      <c r="D61" s="34" t="s">
        <v>131</v>
      </c>
      <c r="E61" s="39" t="s">
        <v>3</v>
      </c>
      <c r="F61" s="39">
        <v>0</v>
      </c>
      <c r="G61" s="159">
        <v>1</v>
      </c>
      <c r="H61" s="37">
        <v>0</v>
      </c>
      <c r="I61" s="179"/>
      <c r="J61" s="149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9"/>
      <c r="U61" s="39"/>
      <c r="V61" s="99">
        <f t="shared" si="3"/>
        <v>1</v>
      </c>
      <c r="W61" s="134">
        <v>1</v>
      </c>
    </row>
    <row r="62" spans="1:25" s="33" customFormat="1" ht="15" customHeight="1">
      <c r="A62" s="39">
        <v>3</v>
      </c>
      <c r="B62" s="39">
        <v>58</v>
      </c>
      <c r="C62" s="39" t="s">
        <v>188</v>
      </c>
      <c r="D62" s="34" t="s">
        <v>131</v>
      </c>
      <c r="E62" s="39" t="s">
        <v>3</v>
      </c>
      <c r="F62" s="39">
        <v>0</v>
      </c>
      <c r="G62" s="159">
        <v>1</v>
      </c>
      <c r="H62" s="37">
        <v>0</v>
      </c>
      <c r="I62" s="179"/>
      <c r="J62" s="149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9"/>
      <c r="U62" s="39"/>
      <c r="V62" s="99">
        <f t="shared" si="3"/>
        <v>1</v>
      </c>
      <c r="W62" s="134">
        <v>1</v>
      </c>
    </row>
    <row r="63" spans="1:25" s="33" customFormat="1" ht="15" customHeight="1">
      <c r="A63" s="39">
        <v>4</v>
      </c>
      <c r="B63" s="39">
        <v>59</v>
      </c>
      <c r="C63" s="39" t="s">
        <v>189</v>
      </c>
      <c r="D63" s="34" t="s">
        <v>131</v>
      </c>
      <c r="E63" s="39" t="s">
        <v>3</v>
      </c>
      <c r="F63" s="39">
        <v>0</v>
      </c>
      <c r="G63" s="159">
        <v>1</v>
      </c>
      <c r="H63" s="37">
        <v>0</v>
      </c>
      <c r="I63" s="179"/>
      <c r="J63" s="149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9"/>
      <c r="U63" s="39"/>
      <c r="V63" s="99">
        <f t="shared" si="3"/>
        <v>1</v>
      </c>
      <c r="W63" s="134">
        <v>1</v>
      </c>
    </row>
    <row r="64" spans="1:25" s="33" customFormat="1" ht="15" customHeight="1">
      <c r="A64" s="39">
        <v>5</v>
      </c>
      <c r="B64" s="39">
        <v>60</v>
      </c>
      <c r="C64" s="39" t="s">
        <v>190</v>
      </c>
      <c r="D64" s="34" t="s">
        <v>131</v>
      </c>
      <c r="E64" s="39" t="s">
        <v>3</v>
      </c>
      <c r="F64" s="39">
        <v>0</v>
      </c>
      <c r="G64" s="159">
        <v>1</v>
      </c>
      <c r="H64" s="37">
        <v>0</v>
      </c>
      <c r="I64" s="179"/>
      <c r="J64" s="149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/>
      <c r="U64" s="37"/>
      <c r="V64" s="99">
        <f t="shared" si="3"/>
        <v>1</v>
      </c>
      <c r="W64" s="134">
        <v>1</v>
      </c>
      <c r="X64" s="133"/>
      <c r="Y64" s="133"/>
    </row>
    <row r="65" spans="1:25" s="33" customFormat="1" ht="15" customHeight="1">
      <c r="A65" s="39">
        <v>6</v>
      </c>
      <c r="B65" s="39">
        <v>61</v>
      </c>
      <c r="C65" s="39" t="s">
        <v>191</v>
      </c>
      <c r="D65" s="34" t="s">
        <v>560</v>
      </c>
      <c r="E65" s="39" t="s">
        <v>3</v>
      </c>
      <c r="F65" s="39">
        <v>0</v>
      </c>
      <c r="G65" s="159">
        <v>2</v>
      </c>
      <c r="H65" s="37">
        <v>0</v>
      </c>
      <c r="I65" s="179"/>
      <c r="J65" s="149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/>
      <c r="U65" s="37"/>
      <c r="V65" s="99">
        <f t="shared" si="3"/>
        <v>2</v>
      </c>
      <c r="W65" s="235">
        <v>2</v>
      </c>
      <c r="X65" s="133"/>
      <c r="Y65" s="133"/>
    </row>
    <row r="66" spans="1:25" s="101" customFormat="1" ht="15" customHeight="1">
      <c r="A66" s="152">
        <v>7</v>
      </c>
      <c r="B66" s="152">
        <v>62</v>
      </c>
      <c r="C66" s="152" t="s">
        <v>192</v>
      </c>
      <c r="D66" s="156" t="s">
        <v>561</v>
      </c>
      <c r="E66" s="39" t="s">
        <v>3</v>
      </c>
      <c r="F66" s="152">
        <v>0</v>
      </c>
      <c r="G66" s="160">
        <v>2</v>
      </c>
      <c r="H66" s="152">
        <v>0</v>
      </c>
      <c r="I66" s="179"/>
      <c r="J66" s="155">
        <v>0</v>
      </c>
      <c r="K66" s="152">
        <v>0</v>
      </c>
      <c r="L66" s="152">
        <v>0</v>
      </c>
      <c r="M66" s="152">
        <v>0</v>
      </c>
      <c r="N66" s="152">
        <v>0</v>
      </c>
      <c r="O66" s="214">
        <v>1</v>
      </c>
      <c r="P66" s="152">
        <v>0</v>
      </c>
      <c r="Q66" s="214">
        <v>1</v>
      </c>
      <c r="R66" s="37">
        <v>0</v>
      </c>
      <c r="S66" s="152">
        <v>3</v>
      </c>
      <c r="T66" s="152" t="s">
        <v>536</v>
      </c>
      <c r="U66" s="152" t="s">
        <v>537</v>
      </c>
      <c r="V66" s="99">
        <f>F66+G66+J66+K66+L66+M66+N66+O66+P66+Q66-S66</f>
        <v>1</v>
      </c>
      <c r="W66" s="235">
        <v>2</v>
      </c>
    </row>
    <row r="67" spans="1:25" s="33" customFormat="1" ht="15" customHeight="1">
      <c r="A67" s="152">
        <v>8</v>
      </c>
      <c r="B67" s="152">
        <v>63</v>
      </c>
      <c r="C67" s="152" t="s">
        <v>193</v>
      </c>
      <c r="D67" s="156" t="s">
        <v>550</v>
      </c>
      <c r="E67" s="39" t="s">
        <v>3</v>
      </c>
      <c r="F67" s="152">
        <v>0</v>
      </c>
      <c r="G67" s="160">
        <v>2</v>
      </c>
      <c r="H67" s="152">
        <v>0</v>
      </c>
      <c r="I67" s="179"/>
      <c r="J67" s="155">
        <v>0</v>
      </c>
      <c r="K67" s="152">
        <v>0</v>
      </c>
      <c r="L67" s="152">
        <v>0</v>
      </c>
      <c r="M67" s="152">
        <v>0</v>
      </c>
      <c r="N67" s="152">
        <v>0</v>
      </c>
      <c r="O67" s="152">
        <v>0</v>
      </c>
      <c r="P67" s="152">
        <v>0</v>
      </c>
      <c r="Q67" s="152">
        <v>0</v>
      </c>
      <c r="R67" s="37">
        <v>0</v>
      </c>
      <c r="S67" s="152">
        <v>1</v>
      </c>
      <c r="T67" s="152" t="s">
        <v>536</v>
      </c>
      <c r="U67" s="152" t="s">
        <v>671</v>
      </c>
      <c r="V67" s="99">
        <f t="shared" ref="V67:V75" si="4">F67+G67+J67+K67+L67+M67+N67+O67-S67</f>
        <v>1</v>
      </c>
      <c r="W67" s="235">
        <v>2</v>
      </c>
      <c r="X67" s="133"/>
      <c r="Y67" s="133"/>
    </row>
    <row r="68" spans="1:25" s="101" customFormat="1" ht="15" customHeight="1">
      <c r="A68" s="37">
        <v>9</v>
      </c>
      <c r="B68" s="37">
        <v>64</v>
      </c>
      <c r="C68" s="37" t="s">
        <v>194</v>
      </c>
      <c r="D68" s="42" t="s">
        <v>542</v>
      </c>
      <c r="E68" s="39" t="s">
        <v>3</v>
      </c>
      <c r="F68" s="37">
        <v>0</v>
      </c>
      <c r="G68" s="161">
        <v>2</v>
      </c>
      <c r="H68" s="37">
        <v>0</v>
      </c>
      <c r="I68" s="179"/>
      <c r="J68" s="149">
        <v>0</v>
      </c>
      <c r="K68" s="37">
        <v>0</v>
      </c>
      <c r="L68" s="37">
        <v>0</v>
      </c>
      <c r="M68" s="37">
        <v>0</v>
      </c>
      <c r="N68" s="214">
        <v>1</v>
      </c>
      <c r="O68" s="37">
        <v>0</v>
      </c>
      <c r="P68" s="37">
        <v>0</v>
      </c>
      <c r="Q68" s="37">
        <v>0</v>
      </c>
      <c r="R68" s="37">
        <v>0</v>
      </c>
      <c r="S68" s="44">
        <v>1</v>
      </c>
      <c r="T68" s="37" t="s">
        <v>541</v>
      </c>
      <c r="U68" s="37" t="s">
        <v>543</v>
      </c>
      <c r="V68" s="99">
        <f t="shared" si="4"/>
        <v>2</v>
      </c>
      <c r="W68" s="235">
        <v>2</v>
      </c>
      <c r="X68" s="133"/>
      <c r="Y68" s="133"/>
    </row>
    <row r="69" spans="1:25" s="33" customFormat="1" ht="15" customHeight="1">
      <c r="A69" s="39">
        <v>10</v>
      </c>
      <c r="B69" s="39">
        <v>65</v>
      </c>
      <c r="C69" s="39" t="s">
        <v>195</v>
      </c>
      <c r="D69" s="34" t="s">
        <v>197</v>
      </c>
      <c r="E69" s="39" t="s">
        <v>3</v>
      </c>
      <c r="F69" s="39">
        <v>0</v>
      </c>
      <c r="G69" s="159">
        <v>1</v>
      </c>
      <c r="H69" s="37">
        <v>0</v>
      </c>
      <c r="I69" s="179"/>
      <c r="J69" s="149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9">
        <v>0</v>
      </c>
      <c r="T69" s="37"/>
      <c r="U69" s="37"/>
      <c r="V69" s="99">
        <f t="shared" si="4"/>
        <v>1</v>
      </c>
      <c r="W69" s="235">
        <v>1</v>
      </c>
      <c r="X69" s="133"/>
      <c r="Y69" s="133"/>
    </row>
    <row r="70" spans="1:25" s="33" customFormat="1" ht="15" customHeight="1">
      <c r="A70" s="39">
        <v>11</v>
      </c>
      <c r="B70" s="39">
        <v>66</v>
      </c>
      <c r="C70" s="39" t="s">
        <v>196</v>
      </c>
      <c r="D70" s="34" t="s">
        <v>197</v>
      </c>
      <c r="E70" s="39" t="s">
        <v>3</v>
      </c>
      <c r="F70" s="39">
        <v>0</v>
      </c>
      <c r="G70" s="159">
        <v>1</v>
      </c>
      <c r="H70" s="37">
        <v>0</v>
      </c>
      <c r="I70" s="179"/>
      <c r="J70" s="149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9">
        <v>0</v>
      </c>
      <c r="T70" s="37"/>
      <c r="U70" s="37"/>
      <c r="V70" s="99">
        <f t="shared" si="4"/>
        <v>1</v>
      </c>
      <c r="W70" s="134">
        <v>1</v>
      </c>
    </row>
    <row r="71" spans="1:25" s="33" customFormat="1" ht="15" customHeight="1">
      <c r="A71" s="39">
        <v>12</v>
      </c>
      <c r="B71" s="39">
        <v>67</v>
      </c>
      <c r="C71" s="39" t="s">
        <v>198</v>
      </c>
      <c r="D71" s="34" t="s">
        <v>199</v>
      </c>
      <c r="E71" s="39" t="s">
        <v>3</v>
      </c>
      <c r="F71" s="39">
        <v>0</v>
      </c>
      <c r="G71" s="159">
        <v>1</v>
      </c>
      <c r="H71" s="37">
        <v>0</v>
      </c>
      <c r="I71" s="179"/>
      <c r="J71" s="149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9">
        <v>0</v>
      </c>
      <c r="T71" s="39"/>
      <c r="U71" s="39"/>
      <c r="V71" s="99">
        <f t="shared" si="4"/>
        <v>1</v>
      </c>
      <c r="W71" s="134">
        <v>1</v>
      </c>
    </row>
    <row r="72" spans="1:25" s="33" customFormat="1" ht="26.25" customHeight="1">
      <c r="A72" s="152">
        <v>13</v>
      </c>
      <c r="B72" s="152">
        <v>68</v>
      </c>
      <c r="C72" s="152" t="s">
        <v>200</v>
      </c>
      <c r="D72" s="156" t="s">
        <v>130</v>
      </c>
      <c r="E72" s="39" t="s">
        <v>3</v>
      </c>
      <c r="F72" s="152">
        <v>0</v>
      </c>
      <c r="G72" s="160">
        <v>1</v>
      </c>
      <c r="H72" s="152">
        <v>0</v>
      </c>
      <c r="I72" s="179"/>
      <c r="J72" s="155">
        <v>0</v>
      </c>
      <c r="K72" s="152">
        <v>0</v>
      </c>
      <c r="L72" s="152">
        <v>0</v>
      </c>
      <c r="M72" s="152">
        <v>0</v>
      </c>
      <c r="N72" s="152">
        <v>0</v>
      </c>
      <c r="O72" s="152">
        <v>0</v>
      </c>
      <c r="P72" s="152">
        <v>0</v>
      </c>
      <c r="Q72" s="152">
        <v>0</v>
      </c>
      <c r="R72" s="37">
        <v>0</v>
      </c>
      <c r="S72" s="152">
        <v>1</v>
      </c>
      <c r="T72" s="212" t="s">
        <v>673</v>
      </c>
      <c r="U72" s="152" t="s">
        <v>672</v>
      </c>
      <c r="V72" s="99">
        <f t="shared" si="4"/>
        <v>0</v>
      </c>
      <c r="W72" s="134">
        <v>1</v>
      </c>
    </row>
    <row r="73" spans="1:25" s="33" customFormat="1" ht="15" customHeight="1">
      <c r="A73" s="39">
        <v>14</v>
      </c>
      <c r="B73" s="39">
        <v>69</v>
      </c>
      <c r="C73" s="39" t="s">
        <v>201</v>
      </c>
      <c r="D73" s="34" t="s">
        <v>137</v>
      </c>
      <c r="E73" s="39" t="s">
        <v>3</v>
      </c>
      <c r="F73" s="39">
        <v>0</v>
      </c>
      <c r="G73" s="159">
        <v>1</v>
      </c>
      <c r="H73" s="37">
        <v>0</v>
      </c>
      <c r="I73" s="180"/>
      <c r="J73" s="149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9">
        <v>0</v>
      </c>
      <c r="T73" s="39"/>
      <c r="U73" s="39"/>
      <c r="V73" s="99">
        <f t="shared" si="4"/>
        <v>1</v>
      </c>
      <c r="W73" s="202">
        <v>2</v>
      </c>
    </row>
    <row r="74" spans="1:25" s="33" customFormat="1" ht="15" customHeight="1">
      <c r="A74" s="39">
        <v>15</v>
      </c>
      <c r="B74" s="39">
        <v>70</v>
      </c>
      <c r="C74" s="39" t="s">
        <v>202</v>
      </c>
      <c r="D74" s="34" t="s">
        <v>137</v>
      </c>
      <c r="E74" s="39" t="s">
        <v>3</v>
      </c>
      <c r="F74" s="39">
        <v>0</v>
      </c>
      <c r="G74" s="159">
        <v>1</v>
      </c>
      <c r="H74" s="37">
        <v>0</v>
      </c>
      <c r="I74" s="180"/>
      <c r="J74" s="149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9">
        <v>0</v>
      </c>
      <c r="T74" s="39"/>
      <c r="U74" s="39"/>
      <c r="V74" s="99">
        <f t="shared" si="4"/>
        <v>1</v>
      </c>
      <c r="W74" s="202">
        <v>2</v>
      </c>
    </row>
    <row r="75" spans="1:25" s="33" customFormat="1" ht="15" customHeight="1">
      <c r="A75" s="39">
        <v>16</v>
      </c>
      <c r="B75" s="39">
        <v>71</v>
      </c>
      <c r="C75" s="39" t="s">
        <v>203</v>
      </c>
      <c r="D75" s="34" t="s">
        <v>139</v>
      </c>
      <c r="E75" s="39" t="s">
        <v>3</v>
      </c>
      <c r="F75" s="39">
        <v>0</v>
      </c>
      <c r="G75" s="159">
        <v>1</v>
      </c>
      <c r="H75" s="37">
        <v>0</v>
      </c>
      <c r="I75" s="180"/>
      <c r="J75" s="149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9">
        <v>0</v>
      </c>
      <c r="T75" s="39"/>
      <c r="U75" s="39"/>
      <c r="V75" s="99">
        <f t="shared" si="4"/>
        <v>1</v>
      </c>
      <c r="W75" s="134">
        <v>1</v>
      </c>
    </row>
    <row r="76" spans="1:25" s="133" customFormat="1" ht="31.5" customHeight="1">
      <c r="A76" s="152">
        <v>17</v>
      </c>
      <c r="B76" s="152">
        <v>72</v>
      </c>
      <c r="C76" s="152" t="s">
        <v>204</v>
      </c>
      <c r="D76" s="200" t="s">
        <v>205</v>
      </c>
      <c r="E76" s="39" t="s">
        <v>3</v>
      </c>
      <c r="F76" s="152">
        <v>0</v>
      </c>
      <c r="G76" s="160">
        <v>1</v>
      </c>
      <c r="H76" s="152">
        <v>0</v>
      </c>
      <c r="I76" s="180"/>
      <c r="J76" s="155">
        <v>0</v>
      </c>
      <c r="K76" s="214">
        <v>1</v>
      </c>
      <c r="L76" s="152">
        <v>0</v>
      </c>
      <c r="M76" s="152">
        <v>0</v>
      </c>
      <c r="N76" s="152">
        <v>0</v>
      </c>
      <c r="O76" s="152">
        <v>0</v>
      </c>
      <c r="P76" s="152">
        <v>0</v>
      </c>
      <c r="Q76" s="152">
        <v>0</v>
      </c>
      <c r="R76" s="37">
        <v>0</v>
      </c>
      <c r="S76" s="152">
        <v>1</v>
      </c>
      <c r="T76" s="152" t="s">
        <v>536</v>
      </c>
      <c r="U76" s="152" t="s">
        <v>540</v>
      </c>
      <c r="V76" s="99">
        <f>F76+G76+J76+K76+L76+M76+N76+O76+P76+Q76-S76</f>
        <v>1</v>
      </c>
      <c r="W76" s="235">
        <v>1</v>
      </c>
    </row>
    <row r="77" spans="1:25" s="33" customFormat="1" ht="15" customHeight="1">
      <c r="A77" s="39">
        <v>18</v>
      </c>
      <c r="B77" s="39">
        <v>73</v>
      </c>
      <c r="C77" s="37" t="s">
        <v>206</v>
      </c>
      <c r="D77" s="42" t="s">
        <v>207</v>
      </c>
      <c r="E77" s="39" t="s">
        <v>3</v>
      </c>
      <c r="F77" s="39">
        <v>0</v>
      </c>
      <c r="G77" s="159">
        <v>1</v>
      </c>
      <c r="H77" s="37">
        <v>0</v>
      </c>
      <c r="I77" s="180"/>
      <c r="J77" s="149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9">
        <v>0</v>
      </c>
      <c r="T77" s="39"/>
      <c r="U77" s="39"/>
      <c r="V77" s="99">
        <f>F77+G77+J77+K77+L77+M77+N77+O77-S77</f>
        <v>1</v>
      </c>
      <c r="W77" s="134">
        <v>1</v>
      </c>
    </row>
    <row r="78" spans="1:25" s="33" customFormat="1" ht="15" customHeight="1">
      <c r="A78" s="39">
        <v>19</v>
      </c>
      <c r="B78" s="39">
        <v>74</v>
      </c>
      <c r="C78" s="37" t="s">
        <v>208</v>
      </c>
      <c r="D78" s="42" t="s">
        <v>145</v>
      </c>
      <c r="E78" s="39" t="s">
        <v>3</v>
      </c>
      <c r="F78" s="39">
        <v>0</v>
      </c>
      <c r="G78" s="159">
        <v>1</v>
      </c>
      <c r="H78" s="37">
        <v>0</v>
      </c>
      <c r="I78" s="180"/>
      <c r="J78" s="149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9">
        <v>0</v>
      </c>
      <c r="T78" s="39"/>
      <c r="U78" s="39"/>
      <c r="V78" s="99">
        <f>F78+G78+J78+K78+L78+M78+N78+O78-S78</f>
        <v>1</v>
      </c>
      <c r="W78" s="134">
        <v>1</v>
      </c>
    </row>
    <row r="79" spans="1:25" s="33" customFormat="1" ht="15" customHeight="1">
      <c r="A79" s="39">
        <v>20</v>
      </c>
      <c r="B79" s="39">
        <v>75</v>
      </c>
      <c r="C79" s="37" t="s">
        <v>209</v>
      </c>
      <c r="D79" s="42" t="s">
        <v>210</v>
      </c>
      <c r="E79" s="39" t="s">
        <v>3</v>
      </c>
      <c r="F79" s="39">
        <v>0</v>
      </c>
      <c r="G79" s="159">
        <v>1</v>
      </c>
      <c r="H79" s="37">
        <v>0</v>
      </c>
      <c r="I79" s="180"/>
      <c r="J79" s="149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9">
        <v>0</v>
      </c>
      <c r="T79" s="39"/>
      <c r="U79" s="39"/>
      <c r="V79" s="99">
        <f>F79+G79+J79+K79+L79+M79+N79+O79-S79</f>
        <v>1</v>
      </c>
      <c r="W79" s="134">
        <v>1</v>
      </c>
    </row>
    <row r="80" spans="1:25" s="33" customFormat="1" ht="15" customHeight="1">
      <c r="A80" s="39">
        <v>21</v>
      </c>
      <c r="B80" s="39">
        <v>76</v>
      </c>
      <c r="C80" s="37" t="s">
        <v>211</v>
      </c>
      <c r="D80" s="42" t="s">
        <v>210</v>
      </c>
      <c r="E80" s="39" t="s">
        <v>3</v>
      </c>
      <c r="F80" s="39">
        <v>0</v>
      </c>
      <c r="G80" s="159">
        <v>1</v>
      </c>
      <c r="H80" s="37">
        <v>0</v>
      </c>
      <c r="I80" s="180"/>
      <c r="J80" s="149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9">
        <v>0</v>
      </c>
      <c r="T80" s="39"/>
      <c r="U80" s="39"/>
      <c r="V80" s="99">
        <f>F80+G80+J80+K80+L80+M80+N80+O80-S80</f>
        <v>1</v>
      </c>
      <c r="W80" s="134">
        <v>1</v>
      </c>
    </row>
    <row r="81" spans="1:23" s="33" customFormat="1" ht="15" customHeight="1">
      <c r="A81" s="152">
        <v>22</v>
      </c>
      <c r="B81" s="152">
        <v>77</v>
      </c>
      <c r="C81" s="152" t="s">
        <v>212</v>
      </c>
      <c r="D81" s="156" t="s">
        <v>213</v>
      </c>
      <c r="E81" s="39" t="s">
        <v>3</v>
      </c>
      <c r="F81" s="152">
        <v>0</v>
      </c>
      <c r="G81" s="160">
        <v>2</v>
      </c>
      <c r="H81" s="152">
        <v>0</v>
      </c>
      <c r="I81" s="180"/>
      <c r="J81" s="155">
        <v>0</v>
      </c>
      <c r="K81" s="152">
        <v>0</v>
      </c>
      <c r="L81" s="152">
        <v>0</v>
      </c>
      <c r="M81" s="152">
        <v>0</v>
      </c>
      <c r="N81" s="152">
        <v>0</v>
      </c>
      <c r="O81" s="152">
        <v>0</v>
      </c>
      <c r="P81" s="152">
        <v>0</v>
      </c>
      <c r="Q81" s="152">
        <v>0</v>
      </c>
      <c r="R81" s="37">
        <v>0</v>
      </c>
      <c r="S81" s="152">
        <v>2</v>
      </c>
      <c r="T81" s="152" t="s">
        <v>575</v>
      </c>
      <c r="U81" s="152" t="s">
        <v>576</v>
      </c>
      <c r="V81" s="99">
        <f>F81+G81+J81+K81+L81+M81+N81+O81+P81+Q81-S81</f>
        <v>0</v>
      </c>
      <c r="W81" s="202">
        <v>4</v>
      </c>
    </row>
    <row r="82" spans="1:23" s="33" customFormat="1" ht="15" customHeight="1">
      <c r="A82" s="39">
        <v>23</v>
      </c>
      <c r="B82" s="39">
        <v>78</v>
      </c>
      <c r="C82" s="37" t="s">
        <v>214</v>
      </c>
      <c r="D82" s="42" t="s">
        <v>215</v>
      </c>
      <c r="E82" s="39" t="s">
        <v>3</v>
      </c>
      <c r="F82" s="39">
        <v>0</v>
      </c>
      <c r="G82" s="159">
        <v>1</v>
      </c>
      <c r="H82" s="37">
        <v>0</v>
      </c>
      <c r="I82" s="180"/>
      <c r="J82" s="149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9">
        <v>0</v>
      </c>
      <c r="T82" s="39"/>
      <c r="U82" s="39"/>
      <c r="V82" s="99">
        <f>F82+G82+J82+K82+L82+M82+N82+O82-S82</f>
        <v>1</v>
      </c>
      <c r="W82" s="202">
        <v>2</v>
      </c>
    </row>
    <row r="83" spans="1:23" s="133" customFormat="1" ht="15" customHeight="1">
      <c r="A83" s="152">
        <v>24</v>
      </c>
      <c r="B83" s="152">
        <v>79</v>
      </c>
      <c r="C83" s="152" t="s">
        <v>216</v>
      </c>
      <c r="D83" s="156" t="s">
        <v>217</v>
      </c>
      <c r="E83" s="39" t="s">
        <v>3</v>
      </c>
      <c r="F83" s="152">
        <v>0</v>
      </c>
      <c r="G83" s="160">
        <v>1</v>
      </c>
      <c r="H83" s="152">
        <v>0</v>
      </c>
      <c r="I83" s="180"/>
      <c r="J83" s="155">
        <v>0</v>
      </c>
      <c r="K83" s="152">
        <v>0</v>
      </c>
      <c r="L83" s="152">
        <v>0</v>
      </c>
      <c r="M83" s="214">
        <v>1</v>
      </c>
      <c r="N83" s="152">
        <v>0</v>
      </c>
      <c r="O83" s="152">
        <v>0</v>
      </c>
      <c r="P83" s="152">
        <v>0</v>
      </c>
      <c r="Q83" s="152">
        <v>0</v>
      </c>
      <c r="R83" s="37">
        <v>0</v>
      </c>
      <c r="S83" s="152">
        <v>1</v>
      </c>
      <c r="T83" s="152" t="s">
        <v>538</v>
      </c>
      <c r="U83" s="152" t="s">
        <v>539</v>
      </c>
      <c r="V83" s="99">
        <f>F83+G83+J83+K83+L83+M83+N83+O83+P83+Q83-S83</f>
        <v>1</v>
      </c>
      <c r="W83" s="235">
        <v>1</v>
      </c>
    </row>
    <row r="84" spans="1:23" s="33" customFormat="1" ht="15" customHeight="1">
      <c r="A84" s="39">
        <v>25</v>
      </c>
      <c r="B84" s="39">
        <v>80</v>
      </c>
      <c r="C84" s="37" t="s">
        <v>218</v>
      </c>
      <c r="D84" s="42" t="s">
        <v>217</v>
      </c>
      <c r="E84" s="39" t="s">
        <v>3</v>
      </c>
      <c r="F84" s="39">
        <v>0</v>
      </c>
      <c r="G84" s="159">
        <v>1</v>
      </c>
      <c r="H84" s="37">
        <v>0</v>
      </c>
      <c r="I84" s="180"/>
      <c r="J84" s="149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9">
        <v>0</v>
      </c>
      <c r="T84" s="39"/>
      <c r="U84" s="39"/>
      <c r="V84" s="99">
        <f>F84+G84+J84+K84+L84+M84+N84+O84-S84</f>
        <v>1</v>
      </c>
      <c r="W84" s="134">
        <v>1</v>
      </c>
    </row>
    <row r="85" spans="1:23" s="33" customFormat="1" ht="15" customHeight="1">
      <c r="A85" s="39">
        <v>26</v>
      </c>
      <c r="B85" s="39">
        <v>81</v>
      </c>
      <c r="C85" s="39" t="s">
        <v>219</v>
      </c>
      <c r="D85" s="34" t="s">
        <v>131</v>
      </c>
      <c r="E85" s="39" t="s">
        <v>3</v>
      </c>
      <c r="F85" s="39">
        <v>0</v>
      </c>
      <c r="G85" s="159">
        <v>1</v>
      </c>
      <c r="H85" s="37">
        <v>0</v>
      </c>
      <c r="I85" s="180"/>
      <c r="J85" s="149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9">
        <v>0</v>
      </c>
      <c r="T85" s="39"/>
      <c r="U85" s="39"/>
      <c r="V85" s="99">
        <f>F85+G85+J85+K85+L85+M85+N85+O85-S85</f>
        <v>1</v>
      </c>
      <c r="W85" s="134">
        <v>1</v>
      </c>
    </row>
    <row r="86" spans="1:23" s="33" customFormat="1" ht="15" customHeight="1">
      <c r="A86" s="162">
        <v>27</v>
      </c>
      <c r="B86" s="162">
        <v>82</v>
      </c>
      <c r="C86" s="162" t="s">
        <v>220</v>
      </c>
      <c r="D86" s="163" t="s">
        <v>221</v>
      </c>
      <c r="E86" s="39" t="s">
        <v>3</v>
      </c>
      <c r="F86" s="162">
        <v>0</v>
      </c>
      <c r="G86" s="164">
        <v>1</v>
      </c>
      <c r="H86" s="37">
        <v>0</v>
      </c>
      <c r="I86" s="180"/>
      <c r="J86" s="149">
        <v>0</v>
      </c>
      <c r="K86" s="165">
        <v>0</v>
      </c>
      <c r="L86" s="165">
        <v>0</v>
      </c>
      <c r="M86" s="165">
        <v>0</v>
      </c>
      <c r="N86" s="165">
        <v>0</v>
      </c>
      <c r="O86" s="165">
        <v>0</v>
      </c>
      <c r="P86" s="37">
        <v>0</v>
      </c>
      <c r="Q86" s="37">
        <v>0</v>
      </c>
      <c r="R86" s="37">
        <v>0</v>
      </c>
      <c r="S86" s="39">
        <v>0</v>
      </c>
      <c r="T86" s="39"/>
      <c r="U86" s="39"/>
      <c r="V86" s="99">
        <f>F86+G86+J86+K86+L86+M86+N86+O86-S86</f>
        <v>1</v>
      </c>
      <c r="W86" s="134">
        <v>1</v>
      </c>
    </row>
    <row r="87" spans="1:23">
      <c r="A87" s="13">
        <v>1</v>
      </c>
      <c r="B87" s="39">
        <v>83</v>
      </c>
      <c r="C87" s="37" t="s">
        <v>580</v>
      </c>
      <c r="D87" s="42" t="s">
        <v>581</v>
      </c>
      <c r="E87" s="39" t="s">
        <v>3</v>
      </c>
      <c r="F87" s="166">
        <v>0</v>
      </c>
      <c r="G87" s="13">
        <v>0</v>
      </c>
      <c r="H87" s="13">
        <v>2</v>
      </c>
      <c r="I87" s="181"/>
      <c r="J87" s="11">
        <v>0</v>
      </c>
      <c r="K87" s="13">
        <v>0</v>
      </c>
      <c r="L87" s="165">
        <v>0</v>
      </c>
      <c r="M87" s="165">
        <v>0</v>
      </c>
      <c r="N87" s="165">
        <v>0</v>
      </c>
      <c r="O87" s="165">
        <v>0</v>
      </c>
      <c r="P87" s="37">
        <v>0</v>
      </c>
      <c r="Q87" s="37">
        <v>0</v>
      </c>
      <c r="R87" s="37">
        <v>0</v>
      </c>
      <c r="S87" s="39">
        <v>0</v>
      </c>
      <c r="T87" s="1"/>
      <c r="U87" s="1"/>
      <c r="V87" s="100">
        <f>F87+G87+H87+J87+K87+L87+M87+N87+O87-S87</f>
        <v>2</v>
      </c>
      <c r="W87" s="166">
        <v>2</v>
      </c>
    </row>
    <row r="88" spans="1:23">
      <c r="A88" s="191">
        <v>2</v>
      </c>
      <c r="B88" s="152">
        <v>84</v>
      </c>
      <c r="C88" s="192" t="s">
        <v>583</v>
      </c>
      <c r="D88" s="193" t="s">
        <v>584</v>
      </c>
      <c r="E88" s="39" t="s">
        <v>3</v>
      </c>
      <c r="F88" s="192">
        <v>0</v>
      </c>
      <c r="G88" s="191">
        <v>0</v>
      </c>
      <c r="H88" s="191">
        <v>1</v>
      </c>
      <c r="I88" s="181"/>
      <c r="J88" s="194">
        <v>0</v>
      </c>
      <c r="K88" s="191">
        <v>0</v>
      </c>
      <c r="L88" s="195">
        <v>0</v>
      </c>
      <c r="M88" s="195">
        <v>0</v>
      </c>
      <c r="N88" s="195">
        <v>0</v>
      </c>
      <c r="O88" s="195">
        <v>0</v>
      </c>
      <c r="P88" s="152">
        <v>0</v>
      </c>
      <c r="Q88" s="152">
        <v>0</v>
      </c>
      <c r="R88" s="214">
        <v>1</v>
      </c>
      <c r="S88" s="152">
        <v>1</v>
      </c>
      <c r="T88" s="193" t="s">
        <v>538</v>
      </c>
      <c r="U88" s="193" t="s">
        <v>614</v>
      </c>
      <c r="V88" s="100">
        <f>F88+G88+H88+J88+K88+L88+M88+N88+O88+P88+Q88+R88-S88</f>
        <v>1</v>
      </c>
      <c r="W88" s="166">
        <v>1</v>
      </c>
    </row>
    <row r="89" spans="1:23">
      <c r="A89" s="13">
        <v>3</v>
      </c>
      <c r="B89" s="39">
        <v>85</v>
      </c>
      <c r="C89" s="166" t="s">
        <v>585</v>
      </c>
      <c r="D89" s="1" t="s">
        <v>586</v>
      </c>
      <c r="E89" s="39" t="s">
        <v>3</v>
      </c>
      <c r="F89" s="166">
        <v>0</v>
      </c>
      <c r="G89" s="13">
        <v>0</v>
      </c>
      <c r="H89" s="13">
        <v>1</v>
      </c>
      <c r="I89" s="181"/>
      <c r="J89" s="11">
        <v>0</v>
      </c>
      <c r="K89" s="13">
        <v>0</v>
      </c>
      <c r="L89" s="165">
        <v>0</v>
      </c>
      <c r="M89" s="165">
        <v>0</v>
      </c>
      <c r="N89" s="165">
        <v>0</v>
      </c>
      <c r="O89" s="165">
        <v>0</v>
      </c>
      <c r="P89" s="37">
        <v>0</v>
      </c>
      <c r="Q89" s="37">
        <v>0</v>
      </c>
      <c r="R89" s="37">
        <v>0</v>
      </c>
      <c r="S89" s="39">
        <v>0</v>
      </c>
      <c r="T89" s="1"/>
      <c r="U89" s="1"/>
      <c r="V89" s="100">
        <f>F89+G89+H89+J89+K89+L89+M89+N89+O89-S89</f>
        <v>1</v>
      </c>
      <c r="W89" s="166">
        <v>1</v>
      </c>
    </row>
    <row r="90" spans="1:23">
      <c r="A90" s="13">
        <v>4</v>
      </c>
      <c r="B90" s="39">
        <v>86</v>
      </c>
      <c r="C90" s="166" t="s">
        <v>587</v>
      </c>
      <c r="D90" s="1" t="s">
        <v>588</v>
      </c>
      <c r="E90" s="39" t="s">
        <v>3</v>
      </c>
      <c r="F90" s="166">
        <v>0</v>
      </c>
      <c r="G90" s="13">
        <v>0</v>
      </c>
      <c r="H90" s="13">
        <v>1</v>
      </c>
      <c r="I90" s="181"/>
      <c r="J90" s="11">
        <v>0</v>
      </c>
      <c r="K90" s="13">
        <v>0</v>
      </c>
      <c r="L90" s="165">
        <v>0</v>
      </c>
      <c r="M90" s="165">
        <v>0</v>
      </c>
      <c r="N90" s="165">
        <v>0</v>
      </c>
      <c r="O90" s="165">
        <v>0</v>
      </c>
      <c r="P90" s="37">
        <v>0</v>
      </c>
      <c r="Q90" s="37">
        <v>0</v>
      </c>
      <c r="R90" s="37">
        <v>0</v>
      </c>
      <c r="S90" s="39">
        <v>0</v>
      </c>
      <c r="T90" s="1"/>
      <c r="U90" s="1"/>
      <c r="V90" s="100">
        <f>F90+G90+H90+J90+K90+L90+M90+N90+O90-S90</f>
        <v>1</v>
      </c>
      <c r="W90" s="166">
        <v>1</v>
      </c>
    </row>
    <row r="91" spans="1:23">
      <c r="A91" s="13">
        <v>5</v>
      </c>
      <c r="B91" s="39">
        <v>87</v>
      </c>
      <c r="C91" s="166" t="s">
        <v>589</v>
      </c>
      <c r="D91" s="1" t="s">
        <v>590</v>
      </c>
      <c r="E91" s="39" t="s">
        <v>3</v>
      </c>
      <c r="F91" s="166">
        <v>0</v>
      </c>
      <c r="G91" s="13">
        <v>0</v>
      </c>
      <c r="H91" s="13">
        <v>2</v>
      </c>
      <c r="I91" s="181"/>
      <c r="J91" s="11">
        <v>0</v>
      </c>
      <c r="K91" s="13">
        <v>0</v>
      </c>
      <c r="L91" s="165">
        <v>0</v>
      </c>
      <c r="M91" s="165">
        <v>0</v>
      </c>
      <c r="N91" s="165">
        <v>0</v>
      </c>
      <c r="O91" s="165">
        <v>0</v>
      </c>
      <c r="P91" s="37">
        <v>0</v>
      </c>
      <c r="Q91" s="37">
        <v>0</v>
      </c>
      <c r="R91" s="37">
        <v>0</v>
      </c>
      <c r="S91" s="39">
        <v>0</v>
      </c>
      <c r="T91" s="1"/>
      <c r="U91" s="1"/>
      <c r="V91" s="100">
        <f>F91+G91+H91+J91+K91+L91+M91+N91+O91-S91</f>
        <v>2</v>
      </c>
      <c r="W91" s="264">
        <v>4</v>
      </c>
    </row>
    <row r="92" spans="1:23">
      <c r="A92" s="234">
        <v>1</v>
      </c>
      <c r="B92" s="162">
        <v>88</v>
      </c>
      <c r="C92" s="236" t="s">
        <v>591</v>
      </c>
      <c r="D92" s="38" t="s">
        <v>601</v>
      </c>
      <c r="E92" s="39" t="s">
        <v>3</v>
      </c>
      <c r="F92" s="236">
        <v>0</v>
      </c>
      <c r="G92" s="234">
        <v>0</v>
      </c>
      <c r="H92" s="234">
        <v>1</v>
      </c>
      <c r="I92" s="237"/>
      <c r="J92" s="238">
        <v>0</v>
      </c>
      <c r="K92" s="234">
        <v>0</v>
      </c>
      <c r="L92" s="165">
        <v>0</v>
      </c>
      <c r="M92" s="165">
        <v>0</v>
      </c>
      <c r="N92" s="165">
        <v>0</v>
      </c>
      <c r="O92" s="165">
        <v>0</v>
      </c>
      <c r="P92" s="165">
        <v>0</v>
      </c>
      <c r="Q92" s="165">
        <v>0</v>
      </c>
      <c r="R92" s="165">
        <v>0</v>
      </c>
      <c r="S92" s="162">
        <v>0</v>
      </c>
      <c r="T92" s="38"/>
      <c r="U92" s="38"/>
      <c r="V92" s="239">
        <f>F92+G92+H92+J92+K92+L92+M92+N92+O92-S92</f>
        <v>1</v>
      </c>
      <c r="W92" s="166">
        <v>1</v>
      </c>
    </row>
    <row r="93" spans="1:23">
      <c r="A93" s="13"/>
      <c r="B93" s="39">
        <v>89</v>
      </c>
      <c r="C93" s="313" t="s">
        <v>775</v>
      </c>
      <c r="D93" s="240" t="s">
        <v>766</v>
      </c>
      <c r="E93" s="39" t="s">
        <v>3</v>
      </c>
      <c r="F93" s="1"/>
      <c r="G93" s="13"/>
      <c r="H93" s="13"/>
      <c r="I93" s="13"/>
      <c r="J93" s="11"/>
      <c r="K93" s="13"/>
      <c r="L93" s="13"/>
      <c r="M93" s="13"/>
      <c r="N93" s="13"/>
      <c r="O93" s="13"/>
      <c r="P93" s="13"/>
      <c r="Q93" s="13"/>
      <c r="R93" s="13"/>
      <c r="S93" s="1"/>
      <c r="T93" s="1"/>
      <c r="U93" s="1"/>
      <c r="V93" s="240"/>
      <c r="W93" s="264">
        <v>2</v>
      </c>
    </row>
    <row r="94" spans="1:23">
      <c r="A94" s="13"/>
      <c r="B94" s="39">
        <v>90</v>
      </c>
      <c r="C94" s="313"/>
      <c r="D94" s="240" t="s">
        <v>767</v>
      </c>
      <c r="E94" s="39" t="s">
        <v>3</v>
      </c>
      <c r="F94" s="1"/>
      <c r="G94" s="13"/>
      <c r="H94" s="13"/>
      <c r="I94" s="13"/>
      <c r="J94" s="11"/>
      <c r="K94" s="13"/>
      <c r="L94" s="13"/>
      <c r="M94" s="13"/>
      <c r="N94" s="13"/>
      <c r="O94" s="13"/>
      <c r="P94" s="13"/>
      <c r="Q94" s="13"/>
      <c r="R94" s="13"/>
      <c r="S94" s="1"/>
      <c r="T94" s="1"/>
      <c r="U94" s="1"/>
      <c r="V94" s="240"/>
      <c r="W94" s="264">
        <v>2</v>
      </c>
    </row>
    <row r="95" spans="1:23">
      <c r="A95" s="13"/>
      <c r="B95" s="162">
        <v>91</v>
      </c>
      <c r="C95" s="313"/>
      <c r="D95" s="240" t="s">
        <v>768</v>
      </c>
      <c r="E95" s="39" t="s">
        <v>3</v>
      </c>
      <c r="F95" s="1"/>
      <c r="G95" s="13"/>
      <c r="H95" s="13"/>
      <c r="I95" s="13"/>
      <c r="J95" s="11"/>
      <c r="K95" s="13"/>
      <c r="L95" s="13"/>
      <c r="M95" s="13"/>
      <c r="N95" s="13"/>
      <c r="O95" s="13"/>
      <c r="P95" s="13"/>
      <c r="Q95" s="13"/>
      <c r="R95" s="13"/>
      <c r="S95" s="1"/>
      <c r="T95" s="1"/>
      <c r="U95" s="1"/>
      <c r="V95" s="240"/>
      <c r="W95" s="264">
        <v>2</v>
      </c>
    </row>
    <row r="96" spans="1:23">
      <c r="A96" s="13"/>
      <c r="B96" s="39">
        <v>92</v>
      </c>
      <c r="C96" s="313"/>
      <c r="D96" s="240" t="s">
        <v>769</v>
      </c>
      <c r="E96" s="39" t="s">
        <v>3</v>
      </c>
      <c r="F96" s="1"/>
      <c r="G96" s="13"/>
      <c r="H96" s="13"/>
      <c r="I96" s="13"/>
      <c r="J96" s="11"/>
      <c r="K96" s="13"/>
      <c r="L96" s="13"/>
      <c r="M96" s="13"/>
      <c r="N96" s="13"/>
      <c r="O96" s="13"/>
      <c r="P96" s="13"/>
      <c r="Q96" s="13"/>
      <c r="R96" s="13"/>
      <c r="S96" s="1"/>
      <c r="T96" s="1"/>
      <c r="U96" s="1"/>
      <c r="V96" s="240"/>
      <c r="W96" s="264">
        <v>2</v>
      </c>
    </row>
    <row r="97" spans="1:23">
      <c r="A97" s="13"/>
      <c r="B97" s="39">
        <v>93</v>
      </c>
      <c r="C97" s="313"/>
      <c r="D97" s="240" t="s">
        <v>770</v>
      </c>
      <c r="E97" s="39" t="s">
        <v>3</v>
      </c>
      <c r="F97" s="1"/>
      <c r="G97" s="13"/>
      <c r="H97" s="13"/>
      <c r="I97" s="13"/>
      <c r="J97" s="11"/>
      <c r="K97" s="13"/>
      <c r="L97" s="13"/>
      <c r="M97" s="13"/>
      <c r="N97" s="13"/>
      <c r="O97" s="13"/>
      <c r="P97" s="13"/>
      <c r="Q97" s="13"/>
      <c r="R97" s="13"/>
      <c r="S97" s="1"/>
      <c r="T97" s="1"/>
      <c r="U97" s="1"/>
      <c r="V97" s="240"/>
      <c r="W97" s="264">
        <v>4</v>
      </c>
    </row>
    <row r="98" spans="1:23">
      <c r="A98" s="13"/>
      <c r="B98" s="162">
        <v>94</v>
      </c>
      <c r="C98" s="313"/>
      <c r="D98" s="240" t="s">
        <v>771</v>
      </c>
      <c r="E98" s="39" t="s">
        <v>3</v>
      </c>
      <c r="F98" s="1"/>
      <c r="G98" s="13"/>
      <c r="H98" s="13"/>
      <c r="I98" s="13"/>
      <c r="J98" s="11"/>
      <c r="K98" s="13"/>
      <c r="L98" s="13"/>
      <c r="M98" s="13"/>
      <c r="N98" s="13"/>
      <c r="O98" s="13"/>
      <c r="P98" s="13"/>
      <c r="Q98" s="13"/>
      <c r="R98" s="13"/>
      <c r="S98" s="1"/>
      <c r="T98" s="1"/>
      <c r="U98" s="1"/>
      <c r="V98" s="240"/>
      <c r="W98" s="264">
        <v>2</v>
      </c>
    </row>
    <row r="99" spans="1:23">
      <c r="A99" s="13"/>
      <c r="B99" s="39">
        <v>95</v>
      </c>
      <c r="C99" s="313"/>
      <c r="D99" s="240" t="s">
        <v>772</v>
      </c>
      <c r="E99" s="39" t="s">
        <v>3</v>
      </c>
      <c r="F99" s="1"/>
      <c r="G99" s="13"/>
      <c r="H99" s="13"/>
      <c r="I99" s="13"/>
      <c r="J99" s="11"/>
      <c r="K99" s="13"/>
      <c r="L99" s="13"/>
      <c r="M99" s="13"/>
      <c r="N99" s="13"/>
      <c r="O99" s="13"/>
      <c r="P99" s="13"/>
      <c r="Q99" s="13"/>
      <c r="R99" s="13"/>
      <c r="S99" s="1"/>
      <c r="T99" s="1"/>
      <c r="U99" s="1"/>
      <c r="V99" s="240"/>
      <c r="W99" s="264">
        <v>4</v>
      </c>
    </row>
    <row r="100" spans="1:23">
      <c r="A100" s="13"/>
      <c r="B100" s="39">
        <v>96</v>
      </c>
      <c r="C100" s="313"/>
      <c r="D100" s="240" t="s">
        <v>773</v>
      </c>
      <c r="E100" s="39" t="s">
        <v>3</v>
      </c>
      <c r="F100" s="1"/>
      <c r="G100" s="13"/>
      <c r="H100" s="13"/>
      <c r="I100" s="13"/>
      <c r="J100" s="11"/>
      <c r="K100" s="13"/>
      <c r="L100" s="13"/>
      <c r="M100" s="13"/>
      <c r="N100" s="13"/>
      <c r="O100" s="13"/>
      <c r="P100" s="13"/>
      <c r="Q100" s="13"/>
      <c r="R100" s="13"/>
      <c r="S100" s="1"/>
      <c r="T100" s="1"/>
      <c r="U100" s="1"/>
      <c r="V100" s="240"/>
      <c r="W100" s="264">
        <v>1</v>
      </c>
    </row>
    <row r="101" spans="1:23">
      <c r="A101" s="13"/>
      <c r="B101" s="39">
        <v>97</v>
      </c>
      <c r="C101" s="314"/>
      <c r="D101" s="240" t="s">
        <v>774</v>
      </c>
      <c r="E101" s="39" t="s">
        <v>3</v>
      </c>
      <c r="F101" s="1"/>
      <c r="G101" s="13"/>
      <c r="H101" s="13"/>
      <c r="I101" s="13"/>
      <c r="J101" s="11"/>
      <c r="K101" s="13"/>
      <c r="L101" s="13"/>
      <c r="M101" s="13"/>
      <c r="N101" s="13"/>
      <c r="O101" s="13"/>
      <c r="P101" s="13"/>
      <c r="Q101" s="13"/>
      <c r="R101" s="13"/>
      <c r="S101" s="1"/>
      <c r="T101" s="1"/>
      <c r="U101" s="1"/>
      <c r="V101" s="240"/>
      <c r="W101" s="264">
        <v>1</v>
      </c>
    </row>
    <row r="102" spans="1:23">
      <c r="V102" s="173"/>
    </row>
    <row r="103" spans="1:23">
      <c r="V103" s="173"/>
    </row>
    <row r="104" spans="1:23">
      <c r="V104" s="173"/>
    </row>
    <row r="105" spans="1:23">
      <c r="V105" s="173"/>
    </row>
    <row r="106" spans="1:23">
      <c r="V106" s="173"/>
    </row>
    <row r="107" spans="1:23">
      <c r="V107" s="173"/>
    </row>
    <row r="108" spans="1:23">
      <c r="V108" s="173"/>
    </row>
    <row r="109" spans="1:23">
      <c r="V109" s="173"/>
    </row>
    <row r="110" spans="1:23">
      <c r="V110" s="173"/>
    </row>
    <row r="111" spans="1:23">
      <c r="V111" s="173"/>
    </row>
    <row r="112" spans="1:23">
      <c r="V112" s="173"/>
    </row>
    <row r="113" spans="22:22">
      <c r="V113" s="173"/>
    </row>
    <row r="114" spans="22:22">
      <c r="V114" s="173"/>
    </row>
    <row r="115" spans="22:22">
      <c r="V115" s="173"/>
    </row>
    <row r="116" spans="22:22">
      <c r="V116" s="173"/>
    </row>
    <row r="117" spans="22:22">
      <c r="V117" s="173"/>
    </row>
    <row r="118" spans="22:22">
      <c r="V118" s="173"/>
    </row>
    <row r="119" spans="22:22">
      <c r="V119" s="173"/>
    </row>
    <row r="120" spans="22:22">
      <c r="V120" s="173"/>
    </row>
    <row r="121" spans="22:22">
      <c r="V121" s="173"/>
    </row>
    <row r="122" spans="22:22">
      <c r="V122" s="173"/>
    </row>
    <row r="123" spans="22:22">
      <c r="V123" s="173"/>
    </row>
    <row r="124" spans="22:22">
      <c r="V124" s="173"/>
    </row>
    <row r="125" spans="22:22">
      <c r="V125" s="173"/>
    </row>
    <row r="126" spans="22:22">
      <c r="V126" s="173"/>
    </row>
    <row r="127" spans="22:22">
      <c r="V127" s="173"/>
    </row>
    <row r="128" spans="22:22">
      <c r="V128" s="173"/>
    </row>
    <row r="129" spans="22:22">
      <c r="V129" s="173"/>
    </row>
    <row r="130" spans="22:22">
      <c r="V130" s="173"/>
    </row>
    <row r="131" spans="22:22">
      <c r="V131" s="173"/>
    </row>
    <row r="132" spans="22:22">
      <c r="V132" s="173"/>
    </row>
    <row r="133" spans="22:22">
      <c r="V133" s="173"/>
    </row>
    <row r="134" spans="22:22">
      <c r="V134" s="173"/>
    </row>
    <row r="135" spans="22:22">
      <c r="V135" s="173"/>
    </row>
  </sheetData>
  <mergeCells count="14">
    <mergeCell ref="W3:W4"/>
    <mergeCell ref="C93:C101"/>
    <mergeCell ref="U3:U4"/>
    <mergeCell ref="V3:V4"/>
    <mergeCell ref="T3:T4"/>
    <mergeCell ref="J3:R3"/>
    <mergeCell ref="A2:V2"/>
    <mergeCell ref="A3:A4"/>
    <mergeCell ref="B3:B4"/>
    <mergeCell ref="C3:C4"/>
    <mergeCell ref="D3:D4"/>
    <mergeCell ref="E3:E4"/>
    <mergeCell ref="S3:S4"/>
    <mergeCell ref="F3:H3"/>
  </mergeCells>
  <phoneticPr fontId="23" type="noConversion"/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sqref="A1:F1"/>
    </sheetView>
  </sheetViews>
  <sheetFormatPr defaultRowHeight="15"/>
  <cols>
    <col min="3" max="3" width="19.28515625" customWidth="1"/>
    <col min="4" max="4" width="54.42578125" customWidth="1"/>
    <col min="5" max="5" width="9.85546875" hidden="1" customWidth="1"/>
    <col min="6" max="6" width="19" bestFit="1" customWidth="1"/>
    <col min="7" max="7" width="17.28515625" customWidth="1"/>
  </cols>
  <sheetData>
    <row r="1" spans="1:7" ht="21">
      <c r="A1" s="321" t="s">
        <v>690</v>
      </c>
      <c r="B1" s="321"/>
      <c r="C1" s="321"/>
      <c r="D1" s="321"/>
      <c r="E1" s="321"/>
      <c r="F1" s="321"/>
    </row>
    <row r="2" spans="1:7" ht="30" customHeight="1">
      <c r="A2" s="322" t="s">
        <v>558</v>
      </c>
      <c r="B2" s="323" t="s">
        <v>0</v>
      </c>
      <c r="C2" s="323" t="s">
        <v>20</v>
      </c>
      <c r="D2" s="323" t="s">
        <v>1</v>
      </c>
      <c r="E2" s="323" t="s">
        <v>2</v>
      </c>
      <c r="F2" s="324" t="s">
        <v>556</v>
      </c>
      <c r="G2" s="277" t="s">
        <v>764</v>
      </c>
    </row>
    <row r="3" spans="1:7">
      <c r="A3" s="322"/>
      <c r="B3" s="323"/>
      <c r="C3" s="323"/>
      <c r="D3" s="323"/>
      <c r="E3" s="323"/>
      <c r="F3" s="324"/>
      <c r="G3" s="278"/>
    </row>
    <row r="4" spans="1:7">
      <c r="B4" s="166">
        <v>1</v>
      </c>
      <c r="C4" s="166" t="s">
        <v>692</v>
      </c>
      <c r="D4" s="1" t="s">
        <v>693</v>
      </c>
      <c r="E4" s="166" t="s">
        <v>514</v>
      </c>
      <c r="F4" s="166">
        <v>32</v>
      </c>
      <c r="G4" s="320" t="s">
        <v>871</v>
      </c>
    </row>
    <row r="5" spans="1:7">
      <c r="B5" s="166">
        <v>2</v>
      </c>
      <c r="C5" s="166" t="s">
        <v>694</v>
      </c>
      <c r="D5" s="1" t="s">
        <v>695</v>
      </c>
      <c r="E5" s="166" t="s">
        <v>514</v>
      </c>
      <c r="F5" s="166">
        <v>220</v>
      </c>
      <c r="G5" s="313"/>
    </row>
    <row r="6" spans="1:7">
      <c r="B6" s="166">
        <v>3</v>
      </c>
      <c r="C6" s="166" t="s">
        <v>696</v>
      </c>
      <c r="D6" s="1" t="s">
        <v>697</v>
      </c>
      <c r="E6" s="166" t="s">
        <v>514</v>
      </c>
      <c r="F6" s="166">
        <v>192</v>
      </c>
      <c r="G6" s="313"/>
    </row>
    <row r="7" spans="1:7">
      <c r="B7" s="166">
        <v>4</v>
      </c>
      <c r="C7" s="166" t="s">
        <v>698</v>
      </c>
      <c r="D7" s="1" t="s">
        <v>699</v>
      </c>
      <c r="E7" s="166" t="s">
        <v>514</v>
      </c>
      <c r="F7" s="166">
        <v>160</v>
      </c>
      <c r="G7" s="313"/>
    </row>
    <row r="8" spans="1:7">
      <c r="B8" s="166">
        <v>5</v>
      </c>
      <c r="C8" s="166" t="s">
        <v>700</v>
      </c>
      <c r="D8" s="1" t="s">
        <v>701</v>
      </c>
      <c r="E8" s="166" t="s">
        <v>514</v>
      </c>
      <c r="F8" s="166">
        <v>32</v>
      </c>
      <c r="G8" s="313"/>
    </row>
    <row r="9" spans="1:7">
      <c r="B9" s="166">
        <v>6</v>
      </c>
      <c r="C9" s="166" t="s">
        <v>702</v>
      </c>
      <c r="D9" s="1" t="s">
        <v>703</v>
      </c>
      <c r="E9" s="166" t="s">
        <v>514</v>
      </c>
      <c r="F9" s="166">
        <v>32</v>
      </c>
      <c r="G9" s="313"/>
    </row>
    <row r="10" spans="1:7">
      <c r="B10" s="166">
        <v>7</v>
      </c>
      <c r="C10" s="166" t="s">
        <v>704</v>
      </c>
      <c r="D10" s="1" t="s">
        <v>705</v>
      </c>
      <c r="E10" s="166" t="s">
        <v>514</v>
      </c>
      <c r="F10" s="166">
        <v>32</v>
      </c>
      <c r="G10" s="313"/>
    </row>
    <row r="11" spans="1:7">
      <c r="B11" s="166">
        <v>8</v>
      </c>
      <c r="C11" s="166" t="s">
        <v>706</v>
      </c>
      <c r="D11" s="1" t="s">
        <v>707</v>
      </c>
      <c r="E11" s="166" t="s">
        <v>514</v>
      </c>
      <c r="F11" s="166">
        <v>32</v>
      </c>
      <c r="G11" s="313"/>
    </row>
    <row r="12" spans="1:7">
      <c r="B12" s="166">
        <v>9</v>
      </c>
      <c r="C12" s="166" t="s">
        <v>708</v>
      </c>
      <c r="D12" s="1" t="s">
        <v>709</v>
      </c>
      <c r="E12" s="166" t="s">
        <v>514</v>
      </c>
      <c r="F12" s="166">
        <v>128</v>
      </c>
      <c r="G12" s="313"/>
    </row>
    <row r="13" spans="1:7">
      <c r="B13" s="166">
        <v>10</v>
      </c>
      <c r="C13" s="166" t="s">
        <v>710</v>
      </c>
      <c r="D13" s="1" t="s">
        <v>711</v>
      </c>
      <c r="E13" s="166" t="s">
        <v>514</v>
      </c>
      <c r="F13" s="166">
        <v>6</v>
      </c>
      <c r="G13" s="313"/>
    </row>
    <row r="14" spans="1:7">
      <c r="B14" s="166">
        <v>11</v>
      </c>
      <c r="C14" s="166" t="s">
        <v>712</v>
      </c>
      <c r="D14" s="1" t="s">
        <v>713</v>
      </c>
      <c r="E14" s="166" t="s">
        <v>514</v>
      </c>
      <c r="F14" s="166">
        <v>3</v>
      </c>
      <c r="G14" s="313"/>
    </row>
    <row r="15" spans="1:7">
      <c r="B15" s="166">
        <v>12</v>
      </c>
      <c r="C15" s="166" t="s">
        <v>710</v>
      </c>
      <c r="D15" s="1" t="s">
        <v>711</v>
      </c>
      <c r="E15" s="166" t="s">
        <v>514</v>
      </c>
      <c r="F15" s="166">
        <v>26</v>
      </c>
      <c r="G15" s="313"/>
    </row>
    <row r="16" spans="1:7">
      <c r="B16" s="166">
        <v>13</v>
      </c>
      <c r="C16" s="166" t="s">
        <v>712</v>
      </c>
      <c r="D16" s="1" t="s">
        <v>713</v>
      </c>
      <c r="E16" s="166" t="s">
        <v>514</v>
      </c>
      <c r="F16" s="166">
        <v>13</v>
      </c>
      <c r="G16" s="313"/>
    </row>
    <row r="17" spans="2:7">
      <c r="B17" s="166">
        <v>14</v>
      </c>
      <c r="C17" s="166" t="s">
        <v>714</v>
      </c>
      <c r="D17" s="1" t="s">
        <v>715</v>
      </c>
      <c r="E17" s="166" t="s">
        <v>514</v>
      </c>
      <c r="F17" s="166" t="s">
        <v>716</v>
      </c>
      <c r="G17" s="313"/>
    </row>
    <row r="18" spans="2:7">
      <c r="B18" s="166">
        <v>15</v>
      </c>
      <c r="C18" s="166" t="s">
        <v>717</v>
      </c>
      <c r="D18" s="1" t="s">
        <v>718</v>
      </c>
      <c r="E18" s="166" t="s">
        <v>514</v>
      </c>
      <c r="F18" s="166">
        <v>80</v>
      </c>
      <c r="G18" s="313"/>
    </row>
    <row r="19" spans="2:7">
      <c r="B19" s="166">
        <v>16</v>
      </c>
      <c r="C19" s="166" t="s">
        <v>719</v>
      </c>
      <c r="D19" s="1" t="s">
        <v>720</v>
      </c>
      <c r="E19" s="166" t="s">
        <v>514</v>
      </c>
      <c r="F19" s="166">
        <v>40</v>
      </c>
      <c r="G19" s="313"/>
    </row>
    <row r="20" spans="2:7">
      <c r="B20" s="166">
        <v>17</v>
      </c>
      <c r="C20" s="166" t="s">
        <v>721</v>
      </c>
      <c r="D20" s="1" t="s">
        <v>722</v>
      </c>
      <c r="E20" s="166" t="s">
        <v>514</v>
      </c>
      <c r="F20" s="166">
        <v>336</v>
      </c>
      <c r="G20" s="313"/>
    </row>
    <row r="21" spans="2:7">
      <c r="B21" s="166">
        <v>18</v>
      </c>
      <c r="C21" s="166" t="s">
        <v>723</v>
      </c>
      <c r="D21" s="1" t="s">
        <v>724</v>
      </c>
      <c r="E21" s="166" t="s">
        <v>514</v>
      </c>
      <c r="F21" s="166">
        <v>303</v>
      </c>
      <c r="G21" s="313"/>
    </row>
    <row r="22" spans="2:7" ht="17.25" customHeight="1">
      <c r="B22" s="166">
        <v>19</v>
      </c>
      <c r="C22" s="166" t="s">
        <v>698</v>
      </c>
      <c r="D22" s="1" t="s">
        <v>699</v>
      </c>
      <c r="E22" s="166" t="s">
        <v>514</v>
      </c>
      <c r="F22" s="166">
        <v>1</v>
      </c>
      <c r="G22" s="314"/>
    </row>
  </sheetData>
  <mergeCells count="8">
    <mergeCell ref="G4:G2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F4" sqref="F4:G21"/>
    </sheetView>
  </sheetViews>
  <sheetFormatPr defaultRowHeight="15"/>
  <cols>
    <col min="3" max="3" width="15.140625" customWidth="1"/>
    <col min="4" max="4" width="41.5703125" customWidth="1"/>
    <col min="6" max="6" width="12.42578125" customWidth="1"/>
    <col min="7" max="7" width="18.85546875" customWidth="1"/>
  </cols>
  <sheetData>
    <row r="1" spans="1:7" ht="36.75" customHeight="1">
      <c r="A1" s="325" t="s">
        <v>725</v>
      </c>
      <c r="B1" s="325"/>
      <c r="C1" s="325"/>
      <c r="D1" s="325"/>
      <c r="E1" s="325"/>
      <c r="F1" s="325"/>
    </row>
    <row r="2" spans="1:7" ht="15" customHeight="1">
      <c r="A2" s="322" t="s">
        <v>558</v>
      </c>
      <c r="B2" s="323" t="s">
        <v>0</v>
      </c>
      <c r="C2" s="323" t="s">
        <v>20</v>
      </c>
      <c r="D2" s="323" t="s">
        <v>1</v>
      </c>
      <c r="E2" s="323" t="s">
        <v>2</v>
      </c>
      <c r="F2" s="324" t="s">
        <v>556</v>
      </c>
      <c r="G2" s="324" t="s">
        <v>764</v>
      </c>
    </row>
    <row r="3" spans="1:7" ht="52.5" customHeight="1">
      <c r="A3" s="322"/>
      <c r="B3" s="323"/>
      <c r="C3" s="323"/>
      <c r="D3" s="323"/>
      <c r="E3" s="323"/>
      <c r="F3" s="324"/>
      <c r="G3" s="324"/>
    </row>
    <row r="4" spans="1:7" ht="16.5" thickBot="1">
      <c r="A4" s="1"/>
      <c r="B4" s="166">
        <v>1</v>
      </c>
      <c r="C4" s="166">
        <v>94221151</v>
      </c>
      <c r="D4" s="1" t="s">
        <v>726</v>
      </c>
      <c r="E4" s="166" t="s">
        <v>4</v>
      </c>
      <c r="F4" s="166">
        <v>3</v>
      </c>
      <c r="G4" s="281">
        <v>5</v>
      </c>
    </row>
    <row r="5" spans="1:7" ht="16.5" thickBot="1">
      <c r="A5" s="1"/>
      <c r="B5" s="166">
        <v>2</v>
      </c>
      <c r="C5" s="166">
        <v>94221149</v>
      </c>
      <c r="D5" s="1" t="s">
        <v>727</v>
      </c>
      <c r="E5" s="166" t="s">
        <v>4</v>
      </c>
      <c r="F5" s="166">
        <v>2</v>
      </c>
      <c r="G5" s="282">
        <v>3</v>
      </c>
    </row>
    <row r="6" spans="1:7" ht="16.5" thickBot="1">
      <c r="A6" s="1"/>
      <c r="B6" s="166">
        <v>3</v>
      </c>
      <c r="C6" s="166">
        <v>94221143</v>
      </c>
      <c r="D6" s="1" t="s">
        <v>728</v>
      </c>
      <c r="E6" s="166" t="s">
        <v>4</v>
      </c>
      <c r="F6" s="166">
        <v>1</v>
      </c>
      <c r="G6" s="281">
        <v>2</v>
      </c>
    </row>
    <row r="7" spans="1:7" ht="16.5" thickBot="1">
      <c r="A7" s="1"/>
      <c r="B7" s="166">
        <v>4</v>
      </c>
      <c r="C7" s="166">
        <v>94221140</v>
      </c>
      <c r="D7" s="1" t="s">
        <v>729</v>
      </c>
      <c r="E7" s="166" t="s">
        <v>4</v>
      </c>
      <c r="F7" s="166">
        <v>1</v>
      </c>
      <c r="G7" s="282">
        <v>2</v>
      </c>
    </row>
    <row r="8" spans="1:7" ht="16.5" thickBot="1">
      <c r="A8" s="1"/>
      <c r="B8" s="166">
        <v>5</v>
      </c>
      <c r="C8" s="166">
        <v>94221141</v>
      </c>
      <c r="D8" s="1" t="s">
        <v>730</v>
      </c>
      <c r="E8" s="166" t="s">
        <v>4</v>
      </c>
      <c r="F8" s="166">
        <v>3</v>
      </c>
      <c r="G8" s="281">
        <v>4</v>
      </c>
    </row>
    <row r="9" spans="1:7" ht="16.5" thickBot="1">
      <c r="A9" s="1"/>
      <c r="B9" s="166">
        <v>6</v>
      </c>
      <c r="C9" s="166">
        <v>94221142</v>
      </c>
      <c r="D9" s="1" t="s">
        <v>731</v>
      </c>
      <c r="E9" s="166" t="s">
        <v>4</v>
      </c>
      <c r="F9" s="166">
        <v>1</v>
      </c>
      <c r="G9" s="282">
        <v>2</v>
      </c>
    </row>
    <row r="10" spans="1:7" ht="16.5" thickBot="1">
      <c r="A10" s="1"/>
      <c r="B10" s="166">
        <v>7</v>
      </c>
      <c r="C10" s="166">
        <v>94221144</v>
      </c>
      <c r="D10" s="1" t="s">
        <v>732</v>
      </c>
      <c r="E10" s="166" t="s">
        <v>4</v>
      </c>
      <c r="F10" s="166">
        <v>1</v>
      </c>
      <c r="G10" s="281">
        <v>2</v>
      </c>
    </row>
    <row r="11" spans="1:7" ht="16.5" thickBot="1">
      <c r="A11" s="1"/>
      <c r="B11" s="166">
        <v>8</v>
      </c>
      <c r="C11" s="166">
        <v>94221145</v>
      </c>
      <c r="D11" s="1" t="s">
        <v>733</v>
      </c>
      <c r="E11" s="166" t="s">
        <v>4</v>
      </c>
      <c r="F11" s="166">
        <v>1</v>
      </c>
      <c r="G11" s="282">
        <v>1</v>
      </c>
    </row>
    <row r="12" spans="1:7" ht="16.5" thickBot="1">
      <c r="A12" s="1"/>
      <c r="B12" s="166">
        <v>9</v>
      </c>
      <c r="C12" s="166">
        <v>94221147</v>
      </c>
      <c r="D12" s="1" t="s">
        <v>734</v>
      </c>
      <c r="E12" s="166" t="s">
        <v>4</v>
      </c>
      <c r="F12" s="166">
        <v>8</v>
      </c>
      <c r="G12" s="281">
        <v>8</v>
      </c>
    </row>
    <row r="13" spans="1:7" ht="16.5" thickBot="1">
      <c r="A13" s="1"/>
      <c r="B13" s="166">
        <v>10</v>
      </c>
      <c r="C13" s="166">
        <v>94221148</v>
      </c>
      <c r="D13" s="1" t="s">
        <v>735</v>
      </c>
      <c r="E13" s="166" t="s">
        <v>4</v>
      </c>
      <c r="F13" s="166">
        <v>7</v>
      </c>
      <c r="G13" s="282">
        <v>7</v>
      </c>
    </row>
    <row r="14" spans="1:7" ht="16.5" thickBot="1">
      <c r="A14" s="1"/>
      <c r="B14" s="166">
        <v>11</v>
      </c>
      <c r="C14" s="166">
        <v>94221150</v>
      </c>
      <c r="D14" s="1" t="s">
        <v>736</v>
      </c>
      <c r="E14" s="166" t="s">
        <v>4</v>
      </c>
      <c r="F14" s="166">
        <v>2</v>
      </c>
      <c r="G14" s="281">
        <v>2</v>
      </c>
    </row>
    <row r="15" spans="1:7" ht="16.5" thickBot="1">
      <c r="A15" s="1"/>
      <c r="B15" s="166">
        <v>12</v>
      </c>
      <c r="C15" s="166">
        <v>94221152</v>
      </c>
      <c r="D15" s="1" t="s">
        <v>737</v>
      </c>
      <c r="E15" s="166" t="s">
        <v>4</v>
      </c>
      <c r="F15" s="166">
        <v>1</v>
      </c>
      <c r="G15" s="282">
        <v>3</v>
      </c>
    </row>
    <row r="16" spans="1:7" ht="16.5" thickBot="1">
      <c r="A16" s="1"/>
      <c r="B16" s="166">
        <v>13</v>
      </c>
      <c r="C16" s="166">
        <v>94221153</v>
      </c>
      <c r="D16" s="1" t="s">
        <v>738</v>
      </c>
      <c r="E16" s="166" t="s">
        <v>4</v>
      </c>
      <c r="F16" s="166">
        <v>1</v>
      </c>
      <c r="G16" s="281">
        <v>3</v>
      </c>
    </row>
    <row r="17" spans="1:7" ht="16.5" thickBot="1">
      <c r="A17" s="1"/>
      <c r="B17" s="166">
        <v>14</v>
      </c>
      <c r="C17" s="166">
        <v>94221154</v>
      </c>
      <c r="D17" s="1" t="s">
        <v>739</v>
      </c>
      <c r="E17" s="166" t="s">
        <v>4</v>
      </c>
      <c r="F17" s="166">
        <v>1</v>
      </c>
      <c r="G17" s="282">
        <v>3</v>
      </c>
    </row>
    <row r="18" spans="1:7" ht="16.5" thickBot="1">
      <c r="A18" s="38"/>
      <c r="B18" s="236">
        <v>15</v>
      </c>
      <c r="C18" s="236">
        <v>94221155</v>
      </c>
      <c r="D18" s="38" t="s">
        <v>740</v>
      </c>
      <c r="E18" s="166" t="s">
        <v>4</v>
      </c>
      <c r="F18" s="236">
        <v>1</v>
      </c>
      <c r="G18" s="281">
        <v>5</v>
      </c>
    </row>
    <row r="19" spans="1:7" ht="16.5" thickBot="1">
      <c r="A19" s="1"/>
      <c r="B19" s="166">
        <v>16</v>
      </c>
      <c r="C19" s="284" t="s">
        <v>775</v>
      </c>
      <c r="D19" s="240" t="s">
        <v>806</v>
      </c>
      <c r="E19" s="166" t="s">
        <v>4</v>
      </c>
      <c r="F19" s="1"/>
      <c r="G19" s="282">
        <v>6</v>
      </c>
    </row>
    <row r="20" spans="1:7" ht="16.5" thickBot="1">
      <c r="A20" s="1"/>
      <c r="B20" s="166">
        <v>18</v>
      </c>
      <c r="C20" s="284"/>
      <c r="D20" s="240" t="s">
        <v>807</v>
      </c>
      <c r="E20" s="166" t="s">
        <v>4</v>
      </c>
      <c r="F20" s="1"/>
      <c r="G20" s="282">
        <v>6</v>
      </c>
    </row>
    <row r="21" spans="1:7" ht="16.5" thickBot="1">
      <c r="A21" s="1"/>
      <c r="B21" s="166">
        <v>19</v>
      </c>
      <c r="C21" s="284"/>
      <c r="D21" s="240" t="s">
        <v>826</v>
      </c>
      <c r="E21" s="166" t="s">
        <v>4</v>
      </c>
      <c r="F21" s="1"/>
      <c r="G21" s="281">
        <v>3</v>
      </c>
    </row>
  </sheetData>
  <mergeCells count="9">
    <mergeCell ref="G2:G3"/>
    <mergeCell ref="C19:C21"/>
    <mergeCell ref="A1:F1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opLeftCell="C1" workbookViewId="0">
      <selection sqref="A1:F1"/>
    </sheetView>
  </sheetViews>
  <sheetFormatPr defaultRowHeight="15"/>
  <cols>
    <col min="3" max="3" width="15.140625" customWidth="1"/>
    <col min="4" max="4" width="46.7109375" customWidth="1"/>
    <col min="7" max="7" width="25.5703125" style="49" customWidth="1"/>
  </cols>
  <sheetData>
    <row r="1" spans="1:7" ht="34.5" customHeight="1">
      <c r="A1" s="326" t="s">
        <v>741</v>
      </c>
      <c r="B1" s="326"/>
      <c r="C1" s="326"/>
      <c r="D1" s="326"/>
      <c r="E1" s="326"/>
      <c r="F1" s="326"/>
    </row>
    <row r="2" spans="1:7" ht="30" customHeight="1">
      <c r="A2" s="322" t="s">
        <v>558</v>
      </c>
      <c r="B2" s="323" t="s">
        <v>0</v>
      </c>
      <c r="C2" s="323" t="s">
        <v>20</v>
      </c>
      <c r="D2" s="323" t="s">
        <v>1</v>
      </c>
      <c r="E2" s="323" t="s">
        <v>2</v>
      </c>
      <c r="F2" s="324" t="s">
        <v>556</v>
      </c>
      <c r="G2" s="324" t="s">
        <v>764</v>
      </c>
    </row>
    <row r="3" spans="1:7">
      <c r="A3" s="322"/>
      <c r="B3" s="323"/>
      <c r="C3" s="323"/>
      <c r="D3" s="323"/>
      <c r="E3" s="323"/>
      <c r="F3" s="324"/>
      <c r="G3" s="324"/>
    </row>
    <row r="4" spans="1:7">
      <c r="B4" s="166">
        <v>1</v>
      </c>
      <c r="C4" s="166" t="s">
        <v>742</v>
      </c>
      <c r="D4" s="1" t="s">
        <v>743</v>
      </c>
      <c r="E4" s="166" t="s">
        <v>514</v>
      </c>
      <c r="F4" s="166">
        <v>25</v>
      </c>
      <c r="G4" s="274">
        <v>25</v>
      </c>
    </row>
    <row r="5" spans="1:7">
      <c r="B5" s="166">
        <v>2</v>
      </c>
      <c r="C5" s="166" t="s">
        <v>744</v>
      </c>
      <c r="D5" s="1" t="s">
        <v>745</v>
      </c>
      <c r="E5" s="166" t="s">
        <v>514</v>
      </c>
      <c r="F5" s="166">
        <v>5</v>
      </c>
      <c r="G5" s="274">
        <f t="shared" ref="G5:G10" si="0">F5</f>
        <v>5</v>
      </c>
    </row>
    <row r="6" spans="1:7">
      <c r="B6" s="166">
        <v>3</v>
      </c>
      <c r="C6" s="166" t="s">
        <v>746</v>
      </c>
      <c r="D6" s="1" t="s">
        <v>747</v>
      </c>
      <c r="E6" s="166" t="s">
        <v>514</v>
      </c>
      <c r="F6" s="166">
        <v>50</v>
      </c>
      <c r="G6" s="274">
        <f t="shared" si="0"/>
        <v>50</v>
      </c>
    </row>
    <row r="7" spans="1:7">
      <c r="B7" s="166">
        <v>4</v>
      </c>
      <c r="C7" s="166" t="s">
        <v>748</v>
      </c>
      <c r="D7" s="1" t="s">
        <v>749</v>
      </c>
      <c r="E7" s="166" t="s">
        <v>514</v>
      </c>
      <c r="F7" s="166">
        <v>25</v>
      </c>
      <c r="G7" s="274">
        <f t="shared" si="0"/>
        <v>25</v>
      </c>
    </row>
    <row r="8" spans="1:7">
      <c r="B8" s="166">
        <v>5</v>
      </c>
      <c r="C8" s="166" t="s">
        <v>750</v>
      </c>
      <c r="D8" s="1" t="s">
        <v>751</v>
      </c>
      <c r="E8" s="166" t="s">
        <v>514</v>
      </c>
      <c r="F8" s="166">
        <v>4</v>
      </c>
      <c r="G8" s="274">
        <f t="shared" si="0"/>
        <v>4</v>
      </c>
    </row>
    <row r="9" spans="1:7">
      <c r="B9" s="166">
        <v>6</v>
      </c>
      <c r="C9" s="166" t="s">
        <v>752</v>
      </c>
      <c r="D9" s="1" t="s">
        <v>753</v>
      </c>
      <c r="E9" s="166" t="s">
        <v>514</v>
      </c>
      <c r="F9" s="166">
        <v>60</v>
      </c>
      <c r="G9" s="274">
        <f t="shared" si="0"/>
        <v>60</v>
      </c>
    </row>
    <row r="10" spans="1:7">
      <c r="B10" s="166">
        <v>7</v>
      </c>
      <c r="C10" s="236" t="s">
        <v>754</v>
      </c>
      <c r="D10" s="38" t="s">
        <v>755</v>
      </c>
      <c r="E10" s="166" t="s">
        <v>514</v>
      </c>
      <c r="F10" s="236">
        <v>60</v>
      </c>
      <c r="G10" s="276">
        <f t="shared" si="0"/>
        <v>60</v>
      </c>
    </row>
    <row r="11" spans="1:7">
      <c r="C11" s="320" t="s">
        <v>775</v>
      </c>
      <c r="D11" s="240" t="s">
        <v>800</v>
      </c>
      <c r="E11" s="166" t="s">
        <v>514</v>
      </c>
      <c r="F11" s="1"/>
      <c r="G11" s="264">
        <v>2</v>
      </c>
    </row>
    <row r="12" spans="1:7">
      <c r="C12" s="313"/>
      <c r="D12" s="240" t="s">
        <v>801</v>
      </c>
      <c r="E12" s="166" t="s">
        <v>514</v>
      </c>
      <c r="F12" s="1"/>
      <c r="G12" s="264">
        <v>2</v>
      </c>
    </row>
    <row r="13" spans="1:7">
      <c r="C13" s="313"/>
      <c r="D13" s="240" t="s">
        <v>802</v>
      </c>
      <c r="E13" s="166" t="s">
        <v>514</v>
      </c>
      <c r="F13" s="1"/>
      <c r="G13" s="264">
        <v>2</v>
      </c>
    </row>
    <row r="14" spans="1:7">
      <c r="C14" s="314"/>
      <c r="D14" s="240" t="s">
        <v>803</v>
      </c>
      <c r="E14" s="166" t="s">
        <v>514</v>
      </c>
      <c r="F14" s="1"/>
      <c r="G14" s="264">
        <v>2</v>
      </c>
    </row>
  </sheetData>
  <mergeCells count="9">
    <mergeCell ref="G2:G3"/>
    <mergeCell ref="C11:C14"/>
    <mergeCell ref="A1:F1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G4" sqref="G4:G9"/>
    </sheetView>
  </sheetViews>
  <sheetFormatPr defaultRowHeight="15"/>
  <cols>
    <col min="3" max="3" width="15.140625" customWidth="1"/>
    <col min="4" max="4" width="35.7109375" customWidth="1"/>
    <col min="7" max="7" width="18.85546875" customWidth="1"/>
  </cols>
  <sheetData>
    <row r="1" spans="1:7" ht="36.75" customHeight="1">
      <c r="A1" s="326" t="s">
        <v>756</v>
      </c>
      <c r="B1" s="326"/>
      <c r="C1" s="326"/>
      <c r="D1" s="326"/>
      <c r="E1" s="326"/>
      <c r="F1" s="326"/>
    </row>
    <row r="2" spans="1:7">
      <c r="A2" s="322" t="s">
        <v>558</v>
      </c>
      <c r="B2" s="323" t="s">
        <v>0</v>
      </c>
      <c r="C2" s="323" t="s">
        <v>20</v>
      </c>
      <c r="D2" s="323" t="s">
        <v>1</v>
      </c>
      <c r="E2" s="323" t="s">
        <v>2</v>
      </c>
      <c r="F2" s="324" t="s">
        <v>556</v>
      </c>
      <c r="G2" s="327" t="s">
        <v>764</v>
      </c>
    </row>
    <row r="3" spans="1:7">
      <c r="A3" s="322"/>
      <c r="B3" s="323"/>
      <c r="C3" s="323"/>
      <c r="D3" s="323"/>
      <c r="E3" s="323"/>
      <c r="F3" s="324"/>
      <c r="G3" s="327"/>
    </row>
    <row r="4" spans="1:7">
      <c r="A4" s="1"/>
      <c r="B4" s="166">
        <v>1</v>
      </c>
      <c r="C4" s="166">
        <v>94221031</v>
      </c>
      <c r="D4" s="1" t="s">
        <v>757</v>
      </c>
      <c r="E4" s="166" t="s">
        <v>4</v>
      </c>
      <c r="F4" s="166">
        <v>1</v>
      </c>
      <c r="G4" s="264">
        <v>2</v>
      </c>
    </row>
    <row r="5" spans="1:7">
      <c r="A5" s="1"/>
      <c r="B5" s="166">
        <v>2</v>
      </c>
      <c r="C5" s="166">
        <v>94221033</v>
      </c>
      <c r="D5" s="1" t="s">
        <v>758</v>
      </c>
      <c r="E5" s="166" t="s">
        <v>4</v>
      </c>
      <c r="F5" s="166">
        <v>1</v>
      </c>
      <c r="G5" s="264">
        <v>2</v>
      </c>
    </row>
    <row r="6" spans="1:7">
      <c r="A6" s="1"/>
      <c r="B6" s="166">
        <v>3</v>
      </c>
      <c r="C6" s="166">
        <v>64221028</v>
      </c>
      <c r="D6" s="1" t="s">
        <v>759</v>
      </c>
      <c r="E6" s="166" t="s">
        <v>4</v>
      </c>
      <c r="F6" s="166">
        <v>7</v>
      </c>
      <c r="G6" s="264">
        <v>24</v>
      </c>
    </row>
    <row r="7" spans="1:7">
      <c r="A7" s="38"/>
      <c r="B7" s="236">
        <v>4</v>
      </c>
      <c r="C7" s="236">
        <v>94221029</v>
      </c>
      <c r="D7" s="38" t="s">
        <v>760</v>
      </c>
      <c r="E7" s="166" t="s">
        <v>4</v>
      </c>
      <c r="F7" s="236">
        <v>2</v>
      </c>
      <c r="G7" s="264">
        <v>24</v>
      </c>
    </row>
    <row r="8" spans="1:7">
      <c r="A8" s="1"/>
      <c r="B8" s="256">
        <v>5</v>
      </c>
      <c r="C8" s="328" t="s">
        <v>775</v>
      </c>
      <c r="D8" s="240" t="s">
        <v>804</v>
      </c>
      <c r="E8" s="166" t="s">
        <v>4</v>
      </c>
      <c r="F8" s="1"/>
      <c r="G8" s="264">
        <v>2</v>
      </c>
    </row>
    <row r="9" spans="1:7">
      <c r="A9" s="1"/>
      <c r="B9" s="256">
        <v>6</v>
      </c>
      <c r="C9" s="329"/>
      <c r="D9" s="240" t="s">
        <v>805</v>
      </c>
      <c r="E9" s="166" t="s">
        <v>4</v>
      </c>
      <c r="F9" s="1"/>
      <c r="G9" s="264">
        <v>1</v>
      </c>
    </row>
  </sheetData>
  <mergeCells count="9">
    <mergeCell ref="G2:G3"/>
    <mergeCell ref="C8:C9"/>
    <mergeCell ref="A1:F1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"/>
  <sheetViews>
    <sheetView workbookViewId="0">
      <selection activeCell="R4" sqref="R4:R7"/>
    </sheetView>
  </sheetViews>
  <sheetFormatPr defaultRowHeight="15"/>
  <cols>
    <col min="3" max="3" width="17.28515625" customWidth="1"/>
    <col min="4" max="4" width="25.140625" customWidth="1"/>
    <col min="7" max="17" width="0" hidden="1" customWidth="1"/>
    <col min="18" max="18" width="20.7109375" customWidth="1"/>
  </cols>
  <sheetData>
    <row r="1" spans="1:18" ht="45" customHeight="1">
      <c r="A1" s="330" t="s">
        <v>761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</row>
    <row r="2" spans="1:18" ht="30">
      <c r="A2" s="322" t="s">
        <v>558</v>
      </c>
      <c r="B2" s="323" t="s">
        <v>0</v>
      </c>
      <c r="C2" s="323" t="s">
        <v>20</v>
      </c>
      <c r="D2" s="323" t="s">
        <v>1</v>
      </c>
      <c r="E2" s="323" t="s">
        <v>2</v>
      </c>
      <c r="F2" s="183" t="s">
        <v>551</v>
      </c>
      <c r="G2" s="323" t="s">
        <v>440</v>
      </c>
      <c r="H2" s="323" t="s">
        <v>522</v>
      </c>
      <c r="I2" s="323" t="s">
        <v>523</v>
      </c>
      <c r="J2" s="324" t="s">
        <v>556</v>
      </c>
      <c r="K2" s="324" t="s">
        <v>445</v>
      </c>
      <c r="L2" s="333" t="s">
        <v>545</v>
      </c>
      <c r="M2" s="333" t="s">
        <v>526</v>
      </c>
      <c r="N2" s="336" t="s">
        <v>518</v>
      </c>
      <c r="O2" s="233" t="s">
        <v>524</v>
      </c>
      <c r="P2" s="336" t="s">
        <v>603</v>
      </c>
      <c r="Q2" s="338" t="s">
        <v>170</v>
      </c>
      <c r="R2" s="294" t="s">
        <v>764</v>
      </c>
    </row>
    <row r="3" spans="1:18" ht="30">
      <c r="A3" s="335"/>
      <c r="B3" s="331"/>
      <c r="C3" s="331"/>
      <c r="D3" s="331"/>
      <c r="E3" s="331"/>
      <c r="F3" s="183" t="s">
        <v>691</v>
      </c>
      <c r="G3" s="331"/>
      <c r="H3" s="331"/>
      <c r="I3" s="331"/>
      <c r="J3" s="332"/>
      <c r="K3" s="332"/>
      <c r="L3" s="334"/>
      <c r="M3" s="334"/>
      <c r="N3" s="337"/>
      <c r="O3" s="260" t="s">
        <v>602</v>
      </c>
      <c r="P3" s="337"/>
      <c r="Q3" s="336"/>
      <c r="R3" s="294"/>
    </row>
    <row r="4" spans="1:18">
      <c r="A4" s="13"/>
      <c r="B4" s="13">
        <v>1</v>
      </c>
      <c r="C4" s="13"/>
      <c r="D4" s="266" t="s">
        <v>762</v>
      </c>
      <c r="E4" s="13" t="s">
        <v>514</v>
      </c>
      <c r="F4" s="13">
        <v>5</v>
      </c>
      <c r="G4" s="13"/>
      <c r="H4" s="13"/>
      <c r="I4" s="13"/>
      <c r="J4" s="13">
        <v>5</v>
      </c>
      <c r="K4" s="13"/>
      <c r="L4" s="13"/>
      <c r="M4" s="13"/>
      <c r="N4" s="13"/>
      <c r="O4" s="13"/>
      <c r="P4" s="13"/>
      <c r="Q4" s="13"/>
      <c r="R4" s="166">
        <v>5</v>
      </c>
    </row>
    <row r="5" spans="1:18">
      <c r="A5" s="13"/>
      <c r="B5" s="13">
        <v>2</v>
      </c>
      <c r="C5" s="13"/>
      <c r="D5" s="266" t="s">
        <v>763</v>
      </c>
      <c r="E5" s="265" t="s">
        <v>514</v>
      </c>
      <c r="F5" s="13">
        <v>100</v>
      </c>
      <c r="G5" s="13"/>
      <c r="H5" s="13"/>
      <c r="I5" s="13"/>
      <c r="J5" s="13">
        <v>100</v>
      </c>
      <c r="K5" s="13"/>
      <c r="L5" s="13"/>
      <c r="M5" s="13"/>
      <c r="N5" s="13"/>
      <c r="O5" s="13"/>
      <c r="P5" s="13"/>
      <c r="Q5" s="13"/>
      <c r="R5" s="166">
        <v>100</v>
      </c>
    </row>
    <row r="6" spans="1:18" ht="30">
      <c r="A6" s="1"/>
      <c r="B6" s="13">
        <v>3</v>
      </c>
      <c r="C6" s="284" t="s">
        <v>775</v>
      </c>
      <c r="D6" s="267" t="s">
        <v>827</v>
      </c>
      <c r="E6" s="265" t="s">
        <v>255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00" t="s">
        <v>828</v>
      </c>
    </row>
    <row r="7" spans="1:18">
      <c r="A7" s="1"/>
      <c r="B7" s="268">
        <v>4</v>
      </c>
      <c r="C7" s="284"/>
      <c r="D7" s="1" t="s">
        <v>830</v>
      </c>
      <c r="E7" s="265" t="s">
        <v>514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64" t="s">
        <v>831</v>
      </c>
    </row>
  </sheetData>
  <mergeCells count="18">
    <mergeCell ref="R2:R3"/>
    <mergeCell ref="C6:C7"/>
    <mergeCell ref="N2:N3"/>
    <mergeCell ref="P2:P3"/>
    <mergeCell ref="Q2:Q3"/>
    <mergeCell ref="A1:Q1"/>
    <mergeCell ref="H2:H3"/>
    <mergeCell ref="I2:I3"/>
    <mergeCell ref="J2:J3"/>
    <mergeCell ref="K2:K3"/>
    <mergeCell ref="L2:L3"/>
    <mergeCell ref="M2:M3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28"/>
  <sheetViews>
    <sheetView zoomScale="112" zoomScaleNormal="112" workbookViewId="0">
      <pane ySplit="3" topLeftCell="A49" activePane="bottomLeft" state="frozen"/>
      <selection pane="bottomLeft" activeCell="X4" sqref="X4:X75"/>
    </sheetView>
  </sheetViews>
  <sheetFormatPr defaultRowHeight="15"/>
  <cols>
    <col min="1" max="1" width="8.5703125" customWidth="1"/>
    <col min="2" max="2" width="5.7109375" style="2" customWidth="1"/>
    <col min="3" max="3" width="18.85546875" style="49" customWidth="1"/>
    <col min="4" max="4" width="40.5703125" customWidth="1"/>
    <col min="5" max="5" width="6.42578125" customWidth="1"/>
    <col min="6" max="6" width="8.7109375" hidden="1" customWidth="1"/>
    <col min="7" max="7" width="10" hidden="1" customWidth="1"/>
    <col min="8" max="8" width="9.85546875" hidden="1" customWidth="1"/>
    <col min="9" max="9" width="9.28515625" hidden="1" customWidth="1"/>
    <col min="10" max="10" width="1.42578125" hidden="1" customWidth="1"/>
    <col min="11" max="12" width="9.28515625" hidden="1" customWidth="1"/>
    <col min="13" max="13" width="9.28515625" style="1" hidden="1" customWidth="1"/>
    <col min="14" max="14" width="9.140625" hidden="1" customWidth="1"/>
    <col min="15" max="15" width="15.140625" hidden="1" customWidth="1"/>
    <col min="16" max="16" width="10.5703125" hidden="1" customWidth="1"/>
    <col min="17" max="17" width="18" style="219" customWidth="1"/>
    <col min="18" max="18" width="9.28515625" hidden="1" customWidth="1"/>
    <col min="19" max="19" width="14.28515625" hidden="1" customWidth="1"/>
    <col min="20" max="20" width="11.140625" hidden="1" customWidth="1"/>
    <col min="21" max="21" width="11.85546875" hidden="1" customWidth="1"/>
    <col min="22" max="22" width="7.140625" hidden="1" customWidth="1"/>
    <col min="23" max="23" width="22.5703125" hidden="1" customWidth="1"/>
    <col min="24" max="24" width="17.42578125" style="2" customWidth="1"/>
    <col min="26" max="26" width="15.140625" bestFit="1" customWidth="1"/>
    <col min="27" max="27" width="24.28515625" bestFit="1" customWidth="1"/>
    <col min="28" max="28" width="4" bestFit="1" customWidth="1"/>
  </cols>
  <sheetData>
    <row r="1" spans="1:30" ht="27">
      <c r="A1" s="283" t="s">
        <v>684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</row>
    <row r="2" spans="1:30" s="10" customFormat="1" ht="20.25" customHeight="1">
      <c r="A2" s="358" t="s">
        <v>554</v>
      </c>
      <c r="B2" s="344" t="s">
        <v>256</v>
      </c>
      <c r="C2" s="346" t="s">
        <v>20</v>
      </c>
      <c r="D2" s="348" t="s">
        <v>1</v>
      </c>
      <c r="E2" s="350" t="s">
        <v>2</v>
      </c>
      <c r="F2" s="359" t="s">
        <v>5</v>
      </c>
      <c r="G2" s="360"/>
      <c r="H2" s="360"/>
      <c r="I2" s="361"/>
      <c r="J2" s="352"/>
      <c r="K2" s="355" t="s">
        <v>574</v>
      </c>
      <c r="L2" s="356"/>
      <c r="M2" s="357"/>
      <c r="N2" s="339" t="s">
        <v>440</v>
      </c>
      <c r="O2" s="339" t="s">
        <v>522</v>
      </c>
      <c r="P2" s="339" t="s">
        <v>523</v>
      </c>
      <c r="Q2" s="342" t="s">
        <v>689</v>
      </c>
      <c r="R2" s="339" t="s">
        <v>445</v>
      </c>
      <c r="S2" s="339" t="s">
        <v>525</v>
      </c>
      <c r="T2" s="339" t="s">
        <v>526</v>
      </c>
      <c r="U2" s="186" t="s">
        <v>524</v>
      </c>
      <c r="V2" s="339" t="s">
        <v>603</v>
      </c>
      <c r="W2" s="341" t="s">
        <v>592</v>
      </c>
      <c r="X2" s="327" t="s">
        <v>764</v>
      </c>
    </row>
    <row r="3" spans="1:30" s="10" customFormat="1" ht="23.25" customHeight="1">
      <c r="A3" s="358"/>
      <c r="B3" s="345"/>
      <c r="C3" s="347"/>
      <c r="D3" s="349"/>
      <c r="E3" s="351"/>
      <c r="F3" s="185" t="s">
        <v>520</v>
      </c>
      <c r="G3" s="185" t="s">
        <v>521</v>
      </c>
      <c r="H3" s="185" t="s">
        <v>435</v>
      </c>
      <c r="I3" s="227" t="s">
        <v>519</v>
      </c>
      <c r="J3" s="353"/>
      <c r="K3" s="197" t="s">
        <v>607</v>
      </c>
      <c r="L3" s="197" t="s">
        <v>611</v>
      </c>
      <c r="M3" s="232" t="s">
        <v>683</v>
      </c>
      <c r="N3" s="340"/>
      <c r="O3" s="340"/>
      <c r="P3" s="340"/>
      <c r="Q3" s="343"/>
      <c r="R3" s="340"/>
      <c r="S3" s="340"/>
      <c r="T3" s="340"/>
      <c r="U3" s="186" t="s">
        <v>602</v>
      </c>
      <c r="V3" s="340"/>
      <c r="W3" s="341"/>
      <c r="X3" s="327"/>
    </row>
    <row r="4" spans="1:30" ht="16.5" customHeight="1">
      <c r="A4" s="13">
        <v>1</v>
      </c>
      <c r="B4" s="39">
        <v>1</v>
      </c>
      <c r="C4" s="74">
        <v>478035</v>
      </c>
      <c r="D4" s="67" t="s">
        <v>155</v>
      </c>
      <c r="E4" s="39" t="s">
        <v>3</v>
      </c>
      <c r="F4" s="39">
        <v>24</v>
      </c>
      <c r="G4" s="39">
        <v>0</v>
      </c>
      <c r="H4" s="39">
        <v>0</v>
      </c>
      <c r="I4" s="215">
        <v>0</v>
      </c>
      <c r="J4" s="353"/>
      <c r="K4" s="39">
        <v>0</v>
      </c>
      <c r="L4" s="39">
        <v>0</v>
      </c>
      <c r="M4" s="215">
        <v>0</v>
      </c>
      <c r="N4" s="39">
        <v>0</v>
      </c>
      <c r="O4" s="39"/>
      <c r="P4" s="39"/>
      <c r="Q4" s="218">
        <f t="shared" ref="Q4:Q26" si="0">F4+G4+H4+I4-N4</f>
        <v>24</v>
      </c>
      <c r="R4" s="83">
        <v>0</v>
      </c>
      <c r="S4" s="35"/>
      <c r="T4" s="35"/>
      <c r="U4" s="35"/>
      <c r="V4" s="35"/>
      <c r="W4" s="1"/>
      <c r="X4" s="218">
        <f>Q4</f>
        <v>24</v>
      </c>
      <c r="Y4" s="2"/>
      <c r="Z4" s="2"/>
      <c r="AA4" s="2"/>
      <c r="AB4" s="2"/>
      <c r="AC4" s="2"/>
      <c r="AD4" s="2"/>
    </row>
    <row r="5" spans="1:30" ht="16.5" customHeight="1">
      <c r="A5" s="13">
        <v>2</v>
      </c>
      <c r="B5" s="39">
        <v>2</v>
      </c>
      <c r="C5" s="74">
        <v>477239</v>
      </c>
      <c r="D5" s="68" t="s">
        <v>156</v>
      </c>
      <c r="E5" s="39" t="s">
        <v>3</v>
      </c>
      <c r="F5" s="39">
        <v>20</v>
      </c>
      <c r="G5" s="39">
        <v>0</v>
      </c>
      <c r="H5" s="39">
        <v>0</v>
      </c>
      <c r="I5" s="215">
        <v>0</v>
      </c>
      <c r="J5" s="353"/>
      <c r="K5" s="39">
        <v>0</v>
      </c>
      <c r="L5" s="39">
        <v>0</v>
      </c>
      <c r="M5" s="215">
        <v>0</v>
      </c>
      <c r="N5" s="39">
        <v>0</v>
      </c>
      <c r="O5" s="39"/>
      <c r="P5" s="39"/>
      <c r="Q5" s="218">
        <f t="shared" si="0"/>
        <v>20</v>
      </c>
      <c r="R5" s="83">
        <v>0</v>
      </c>
      <c r="S5" s="35"/>
      <c r="T5" s="35"/>
      <c r="U5" s="35"/>
      <c r="V5" s="35"/>
      <c r="W5" s="1"/>
      <c r="X5" s="218">
        <f t="shared" ref="X5:X68" si="1">Q5</f>
        <v>20</v>
      </c>
    </row>
    <row r="6" spans="1:30" ht="16.5" customHeight="1">
      <c r="A6" s="13">
        <v>3</v>
      </c>
      <c r="B6" s="39">
        <v>3</v>
      </c>
      <c r="C6" s="74" t="s">
        <v>433</v>
      </c>
      <c r="D6" s="68" t="s">
        <v>399</v>
      </c>
      <c r="E6" s="39" t="s">
        <v>3</v>
      </c>
      <c r="F6" s="39">
        <v>2</v>
      </c>
      <c r="G6" s="39">
        <v>0</v>
      </c>
      <c r="H6" s="39">
        <v>0</v>
      </c>
      <c r="I6" s="215">
        <v>0</v>
      </c>
      <c r="J6" s="353"/>
      <c r="K6" s="39">
        <v>0</v>
      </c>
      <c r="L6" s="39">
        <v>0</v>
      </c>
      <c r="M6" s="215">
        <v>0</v>
      </c>
      <c r="N6" s="39">
        <v>0</v>
      </c>
      <c r="O6" s="39"/>
      <c r="P6" s="39"/>
      <c r="Q6" s="218">
        <f t="shared" si="0"/>
        <v>2</v>
      </c>
      <c r="R6" s="83">
        <v>0</v>
      </c>
      <c r="S6" s="35"/>
      <c r="T6" s="35"/>
      <c r="U6" s="35"/>
      <c r="V6" s="35"/>
      <c r="W6" s="1"/>
      <c r="X6" s="218">
        <f t="shared" si="1"/>
        <v>2</v>
      </c>
      <c r="Z6" s="84"/>
      <c r="AA6" s="85"/>
      <c r="AB6" s="86"/>
    </row>
    <row r="7" spans="1:30" ht="16.5" customHeight="1">
      <c r="A7" s="13">
        <v>4</v>
      </c>
      <c r="B7" s="39">
        <v>4</v>
      </c>
      <c r="C7" s="74" t="s">
        <v>147</v>
      </c>
      <c r="D7" s="68" t="s">
        <v>157</v>
      </c>
      <c r="E7" s="39" t="s">
        <v>3</v>
      </c>
      <c r="F7" s="39">
        <v>2</v>
      </c>
      <c r="G7" s="39">
        <v>0</v>
      </c>
      <c r="H7" s="39">
        <v>0</v>
      </c>
      <c r="I7" s="215">
        <v>0</v>
      </c>
      <c r="J7" s="353"/>
      <c r="K7" s="39">
        <v>0</v>
      </c>
      <c r="L7" s="39">
        <v>0</v>
      </c>
      <c r="M7" s="215">
        <v>0</v>
      </c>
      <c r="N7" s="39">
        <v>0</v>
      </c>
      <c r="O7" s="39"/>
      <c r="P7" s="39"/>
      <c r="Q7" s="218">
        <f t="shared" si="0"/>
        <v>2</v>
      </c>
      <c r="R7" s="83">
        <v>0</v>
      </c>
      <c r="S7" s="35"/>
      <c r="T7" s="35"/>
      <c r="U7" s="35"/>
      <c r="V7" s="35"/>
      <c r="W7" s="1"/>
      <c r="X7" s="218">
        <f t="shared" si="1"/>
        <v>2</v>
      </c>
      <c r="Z7" s="84"/>
      <c r="AA7" s="85"/>
      <c r="AB7" s="86"/>
    </row>
    <row r="8" spans="1:30" ht="16.5" customHeight="1">
      <c r="A8" s="13">
        <v>5</v>
      </c>
      <c r="B8" s="39">
        <v>5</v>
      </c>
      <c r="C8" s="74" t="s">
        <v>9</v>
      </c>
      <c r="D8" s="68" t="s">
        <v>157</v>
      </c>
      <c r="E8" s="39" t="s">
        <v>3</v>
      </c>
      <c r="F8" s="39">
        <v>2</v>
      </c>
      <c r="G8" s="39">
        <v>0</v>
      </c>
      <c r="H8" s="39">
        <v>0</v>
      </c>
      <c r="I8" s="215">
        <v>0</v>
      </c>
      <c r="J8" s="353"/>
      <c r="K8" s="39">
        <v>0</v>
      </c>
      <c r="L8" s="39">
        <v>0</v>
      </c>
      <c r="M8" s="215">
        <v>0</v>
      </c>
      <c r="N8" s="39">
        <v>0</v>
      </c>
      <c r="O8" s="39"/>
      <c r="P8" s="39"/>
      <c r="Q8" s="218">
        <f t="shared" si="0"/>
        <v>2</v>
      </c>
      <c r="R8" s="83">
        <v>0</v>
      </c>
      <c r="S8" s="35"/>
      <c r="T8" s="35"/>
      <c r="U8" s="35"/>
      <c r="V8" s="35"/>
      <c r="W8" s="1"/>
      <c r="X8" s="218">
        <f t="shared" si="1"/>
        <v>2</v>
      </c>
      <c r="Z8" s="87"/>
      <c r="AA8" s="88"/>
      <c r="AB8" s="89"/>
    </row>
    <row r="9" spans="1:30" ht="16.5" customHeight="1">
      <c r="A9" s="13">
        <v>6</v>
      </c>
      <c r="B9" s="39">
        <v>6</v>
      </c>
      <c r="C9" s="74" t="s">
        <v>7</v>
      </c>
      <c r="D9" s="68" t="s">
        <v>158</v>
      </c>
      <c r="E9" s="39" t="s">
        <v>3</v>
      </c>
      <c r="F9" s="39">
        <v>120</v>
      </c>
      <c r="G9" s="39">
        <v>0</v>
      </c>
      <c r="H9" s="39">
        <v>0</v>
      </c>
      <c r="I9" s="215">
        <v>0</v>
      </c>
      <c r="J9" s="353"/>
      <c r="K9" s="39">
        <v>0</v>
      </c>
      <c r="L9" s="39">
        <v>0</v>
      </c>
      <c r="M9" s="215">
        <v>0</v>
      </c>
      <c r="N9" s="39">
        <v>0</v>
      </c>
      <c r="O9" s="39"/>
      <c r="P9" s="39"/>
      <c r="Q9" s="218">
        <f t="shared" si="0"/>
        <v>120</v>
      </c>
      <c r="R9" s="83">
        <v>0</v>
      </c>
      <c r="S9" s="35"/>
      <c r="T9" s="35"/>
      <c r="U9" s="35"/>
      <c r="V9" s="35"/>
      <c r="W9" s="1"/>
      <c r="X9" s="218">
        <f t="shared" si="1"/>
        <v>120</v>
      </c>
      <c r="Z9" s="90"/>
      <c r="AA9" s="88"/>
      <c r="AB9" s="89"/>
    </row>
    <row r="10" spans="1:30" ht="16.5" customHeight="1">
      <c r="A10" s="13">
        <v>7</v>
      </c>
      <c r="B10" s="39">
        <v>7</v>
      </c>
      <c r="C10" s="74" t="s">
        <v>8</v>
      </c>
      <c r="D10" s="67" t="s">
        <v>159</v>
      </c>
      <c r="E10" s="39" t="s">
        <v>3</v>
      </c>
      <c r="F10" s="39">
        <v>30</v>
      </c>
      <c r="G10" s="39">
        <v>0</v>
      </c>
      <c r="H10" s="39">
        <v>0</v>
      </c>
      <c r="I10" s="215">
        <v>0</v>
      </c>
      <c r="J10" s="353"/>
      <c r="K10" s="39">
        <v>0</v>
      </c>
      <c r="L10" s="39">
        <v>0</v>
      </c>
      <c r="M10" s="215">
        <v>0</v>
      </c>
      <c r="N10" s="39">
        <v>0</v>
      </c>
      <c r="O10" s="39"/>
      <c r="P10" s="39"/>
      <c r="Q10" s="218">
        <f t="shared" si="0"/>
        <v>30</v>
      </c>
      <c r="R10" s="83">
        <v>0</v>
      </c>
      <c r="S10" s="35"/>
      <c r="T10" s="35"/>
      <c r="U10" s="35"/>
      <c r="V10" s="35"/>
      <c r="W10" s="1"/>
      <c r="X10" s="218">
        <f t="shared" si="1"/>
        <v>30</v>
      </c>
      <c r="Z10" s="90"/>
      <c r="AA10" s="88"/>
      <c r="AB10" s="89"/>
    </row>
    <row r="11" spans="1:30" ht="16.5" customHeight="1">
      <c r="A11" s="13">
        <v>8</v>
      </c>
      <c r="B11" s="39">
        <v>8</v>
      </c>
      <c r="C11" s="74" t="s">
        <v>10</v>
      </c>
      <c r="D11" s="69" t="s">
        <v>160</v>
      </c>
      <c r="E11" s="39" t="s">
        <v>3</v>
      </c>
      <c r="F11" s="39">
        <v>4</v>
      </c>
      <c r="G11" s="39">
        <v>0</v>
      </c>
      <c r="H11" s="39">
        <v>0</v>
      </c>
      <c r="I11" s="215">
        <v>0</v>
      </c>
      <c r="J11" s="353"/>
      <c r="K11" s="39">
        <v>0</v>
      </c>
      <c r="L11" s="39">
        <v>0</v>
      </c>
      <c r="M11" s="215">
        <v>0</v>
      </c>
      <c r="N11" s="39">
        <v>0</v>
      </c>
      <c r="O11" s="39"/>
      <c r="P11" s="39"/>
      <c r="Q11" s="218">
        <f t="shared" si="0"/>
        <v>4</v>
      </c>
      <c r="R11" s="83">
        <v>0</v>
      </c>
      <c r="S11" s="35"/>
      <c r="T11" s="35"/>
      <c r="U11" s="35"/>
      <c r="V11" s="35"/>
      <c r="W11" s="1"/>
      <c r="X11" s="218">
        <f t="shared" si="1"/>
        <v>4</v>
      </c>
      <c r="Z11" s="90"/>
      <c r="AA11" s="88"/>
      <c r="AB11" s="89"/>
    </row>
    <row r="12" spans="1:30" ht="15" customHeight="1">
      <c r="A12" s="13">
        <v>9</v>
      </c>
      <c r="B12" s="39">
        <v>9</v>
      </c>
      <c r="C12" s="74" t="s">
        <v>11</v>
      </c>
      <c r="D12" s="69" t="s">
        <v>161</v>
      </c>
      <c r="E12" s="39" t="s">
        <v>3</v>
      </c>
      <c r="F12" s="39">
        <v>4</v>
      </c>
      <c r="G12" s="39">
        <v>0</v>
      </c>
      <c r="H12" s="39">
        <v>0</v>
      </c>
      <c r="I12" s="215">
        <v>0</v>
      </c>
      <c r="J12" s="353"/>
      <c r="K12" s="39">
        <v>0</v>
      </c>
      <c r="L12" s="39">
        <v>0</v>
      </c>
      <c r="M12" s="215">
        <v>0</v>
      </c>
      <c r="N12" s="39">
        <v>0</v>
      </c>
      <c r="O12" s="39"/>
      <c r="P12" s="39"/>
      <c r="Q12" s="218">
        <f t="shared" si="0"/>
        <v>4</v>
      </c>
      <c r="R12" s="83">
        <v>0</v>
      </c>
      <c r="S12" s="35"/>
      <c r="T12" s="35"/>
      <c r="U12" s="35"/>
      <c r="V12" s="35"/>
      <c r="W12" s="1"/>
      <c r="X12" s="218">
        <f t="shared" si="1"/>
        <v>4</v>
      </c>
      <c r="Z12" s="90"/>
      <c r="AA12" s="88"/>
      <c r="AB12" s="89"/>
    </row>
    <row r="13" spans="1:30" ht="16.5" customHeight="1">
      <c r="A13" s="13">
        <v>10</v>
      </c>
      <c r="B13" s="39">
        <v>10</v>
      </c>
      <c r="C13" s="74" t="s">
        <v>148</v>
      </c>
      <c r="D13" s="69" t="s">
        <v>160</v>
      </c>
      <c r="E13" s="39" t="s">
        <v>3</v>
      </c>
      <c r="F13" s="39">
        <v>2</v>
      </c>
      <c r="G13" s="39">
        <v>0</v>
      </c>
      <c r="H13" s="39">
        <v>0</v>
      </c>
      <c r="I13" s="215">
        <v>0</v>
      </c>
      <c r="J13" s="353"/>
      <c r="K13" s="39">
        <v>0</v>
      </c>
      <c r="L13" s="39">
        <v>0</v>
      </c>
      <c r="M13" s="215">
        <v>0</v>
      </c>
      <c r="N13" s="39">
        <v>0</v>
      </c>
      <c r="O13" s="39"/>
      <c r="P13" s="39"/>
      <c r="Q13" s="218">
        <f t="shared" si="0"/>
        <v>2</v>
      </c>
      <c r="R13" s="83">
        <v>0</v>
      </c>
      <c r="S13" s="35"/>
      <c r="T13" s="35"/>
      <c r="U13" s="35"/>
      <c r="V13" s="35"/>
      <c r="W13" s="1"/>
      <c r="X13" s="218">
        <f t="shared" si="1"/>
        <v>2</v>
      </c>
      <c r="Z13" s="90"/>
      <c r="AA13" s="88"/>
      <c r="AB13" s="89"/>
    </row>
    <row r="14" spans="1:30" ht="16.5" customHeight="1">
      <c r="A14" s="13">
        <v>11</v>
      </c>
      <c r="B14" s="39">
        <v>11</v>
      </c>
      <c r="C14" s="74" t="s">
        <v>13</v>
      </c>
      <c r="D14" s="69" t="s">
        <v>162</v>
      </c>
      <c r="E14" s="39" t="s">
        <v>3</v>
      </c>
      <c r="F14" s="39">
        <v>22</v>
      </c>
      <c r="G14" s="39">
        <v>0</v>
      </c>
      <c r="H14" s="39">
        <v>0</v>
      </c>
      <c r="I14" s="215">
        <v>0</v>
      </c>
      <c r="J14" s="353"/>
      <c r="K14" s="39">
        <v>0</v>
      </c>
      <c r="L14" s="39">
        <v>0</v>
      </c>
      <c r="M14" s="215">
        <v>0</v>
      </c>
      <c r="N14" s="39">
        <v>0</v>
      </c>
      <c r="O14" s="39"/>
      <c r="P14" s="39"/>
      <c r="Q14" s="218">
        <f t="shared" si="0"/>
        <v>22</v>
      </c>
      <c r="R14" s="83">
        <v>0</v>
      </c>
      <c r="S14" s="35"/>
      <c r="T14" s="35"/>
      <c r="U14" s="35"/>
      <c r="V14" s="35"/>
      <c r="W14" s="1"/>
      <c r="X14" s="218">
        <f t="shared" si="1"/>
        <v>22</v>
      </c>
      <c r="Z14" s="90"/>
      <c r="AA14" s="88"/>
      <c r="AB14" s="89"/>
    </row>
    <row r="15" spans="1:30" ht="16.5" customHeight="1">
      <c r="A15" s="13">
        <v>12</v>
      </c>
      <c r="B15" s="39">
        <v>12</v>
      </c>
      <c r="C15" s="74" t="s">
        <v>149</v>
      </c>
      <c r="D15" s="69" t="s">
        <v>163</v>
      </c>
      <c r="E15" s="39" t="s">
        <v>3</v>
      </c>
      <c r="F15" s="39">
        <v>4</v>
      </c>
      <c r="G15" s="39">
        <v>0</v>
      </c>
      <c r="H15" s="39">
        <v>0</v>
      </c>
      <c r="I15" s="215">
        <v>0</v>
      </c>
      <c r="J15" s="353"/>
      <c r="K15" s="39">
        <v>0</v>
      </c>
      <c r="L15" s="39">
        <v>0</v>
      </c>
      <c r="M15" s="215">
        <v>0</v>
      </c>
      <c r="N15" s="39">
        <v>0</v>
      </c>
      <c r="O15" s="39"/>
      <c r="P15" s="39"/>
      <c r="Q15" s="218">
        <f t="shared" si="0"/>
        <v>4</v>
      </c>
      <c r="R15" s="83">
        <v>0</v>
      </c>
      <c r="S15" s="35"/>
      <c r="T15" s="35"/>
      <c r="U15" s="35"/>
      <c r="V15" s="35"/>
      <c r="W15" s="1"/>
      <c r="X15" s="218">
        <f t="shared" si="1"/>
        <v>4</v>
      </c>
      <c r="Z15" s="90"/>
      <c r="AA15" s="88"/>
      <c r="AB15" s="89"/>
    </row>
    <row r="16" spans="1:30" ht="16.5" customHeight="1">
      <c r="A16" s="13">
        <v>13</v>
      </c>
      <c r="B16" s="39">
        <v>13</v>
      </c>
      <c r="C16" s="74" t="s">
        <v>150</v>
      </c>
      <c r="D16" s="69" t="s">
        <v>163</v>
      </c>
      <c r="E16" s="39" t="s">
        <v>3</v>
      </c>
      <c r="F16" s="39">
        <v>4</v>
      </c>
      <c r="G16" s="39">
        <v>0</v>
      </c>
      <c r="H16" s="39">
        <v>0</v>
      </c>
      <c r="I16" s="215">
        <v>0</v>
      </c>
      <c r="J16" s="353"/>
      <c r="K16" s="39">
        <v>0</v>
      </c>
      <c r="L16" s="39">
        <v>0</v>
      </c>
      <c r="M16" s="215">
        <v>0</v>
      </c>
      <c r="N16" s="39">
        <v>0</v>
      </c>
      <c r="O16" s="39"/>
      <c r="P16" s="39"/>
      <c r="Q16" s="218">
        <f t="shared" si="0"/>
        <v>4</v>
      </c>
      <c r="R16" s="83">
        <v>0</v>
      </c>
      <c r="S16" s="35"/>
      <c r="T16" s="35"/>
      <c r="U16" s="35"/>
      <c r="V16" s="35"/>
      <c r="W16" s="1"/>
      <c r="X16" s="218">
        <f t="shared" si="1"/>
        <v>4</v>
      </c>
      <c r="Z16" s="90"/>
      <c r="AA16" s="88"/>
      <c r="AB16" s="89"/>
    </row>
    <row r="17" spans="1:28" ht="16.5" customHeight="1">
      <c r="A17" s="13">
        <v>14</v>
      </c>
      <c r="B17" s="39">
        <v>14</v>
      </c>
      <c r="C17" s="74" t="s">
        <v>14</v>
      </c>
      <c r="D17" s="68" t="s">
        <v>164</v>
      </c>
      <c r="E17" s="39" t="s">
        <v>3</v>
      </c>
      <c r="F17" s="39">
        <v>8</v>
      </c>
      <c r="G17" s="39">
        <v>0</v>
      </c>
      <c r="H17" s="39">
        <v>0</v>
      </c>
      <c r="I17" s="215">
        <v>0</v>
      </c>
      <c r="J17" s="353"/>
      <c r="K17" s="39">
        <v>0</v>
      </c>
      <c r="L17" s="39">
        <v>0</v>
      </c>
      <c r="M17" s="215">
        <v>0</v>
      </c>
      <c r="N17" s="39">
        <v>0</v>
      </c>
      <c r="O17" s="39"/>
      <c r="P17" s="39"/>
      <c r="Q17" s="218">
        <f t="shared" si="0"/>
        <v>8</v>
      </c>
      <c r="R17" s="83">
        <v>0</v>
      </c>
      <c r="S17" s="35"/>
      <c r="T17" s="35"/>
      <c r="U17" s="35"/>
      <c r="V17" s="35"/>
      <c r="W17" s="1"/>
      <c r="X17" s="218">
        <f t="shared" si="1"/>
        <v>8</v>
      </c>
      <c r="Z17" s="91"/>
      <c r="AA17" s="92"/>
      <c r="AB17" s="86"/>
    </row>
    <row r="18" spans="1:28" ht="16.5" customHeight="1">
      <c r="A18" s="13">
        <v>15</v>
      </c>
      <c r="B18" s="39">
        <v>15</v>
      </c>
      <c r="C18" s="74" t="s">
        <v>151</v>
      </c>
      <c r="D18" s="68" t="s">
        <v>165</v>
      </c>
      <c r="E18" s="39" t="s">
        <v>3</v>
      </c>
      <c r="F18" s="39">
        <v>12</v>
      </c>
      <c r="G18" s="39">
        <v>0</v>
      </c>
      <c r="H18" s="39">
        <v>0</v>
      </c>
      <c r="I18" s="215">
        <v>0</v>
      </c>
      <c r="J18" s="353"/>
      <c r="K18" s="39">
        <v>0</v>
      </c>
      <c r="L18" s="39">
        <v>0</v>
      </c>
      <c r="M18" s="215">
        <v>0</v>
      </c>
      <c r="N18" s="39">
        <v>0</v>
      </c>
      <c r="O18" s="39"/>
      <c r="P18" s="39"/>
      <c r="Q18" s="218">
        <f t="shared" si="0"/>
        <v>12</v>
      </c>
      <c r="R18" s="83">
        <v>0</v>
      </c>
      <c r="S18" s="35"/>
      <c r="T18" s="35"/>
      <c r="U18" s="35"/>
      <c r="V18" s="35"/>
      <c r="W18" s="1"/>
      <c r="X18" s="218">
        <f t="shared" si="1"/>
        <v>12</v>
      </c>
      <c r="Z18" s="91"/>
      <c r="AA18" s="92"/>
      <c r="AB18" s="86"/>
    </row>
    <row r="19" spans="1:28" ht="16.5" customHeight="1">
      <c r="A19" s="13">
        <v>16</v>
      </c>
      <c r="B19" s="39">
        <v>16</v>
      </c>
      <c r="C19" s="74" t="s">
        <v>152</v>
      </c>
      <c r="D19" s="68" t="s">
        <v>165</v>
      </c>
      <c r="E19" s="39" t="s">
        <v>3</v>
      </c>
      <c r="F19" s="39">
        <v>12</v>
      </c>
      <c r="G19" s="39">
        <v>0</v>
      </c>
      <c r="H19" s="39">
        <v>0</v>
      </c>
      <c r="I19" s="215">
        <v>0</v>
      </c>
      <c r="J19" s="353"/>
      <c r="K19" s="39">
        <v>0</v>
      </c>
      <c r="L19" s="39">
        <v>0</v>
      </c>
      <c r="M19" s="215">
        <v>0</v>
      </c>
      <c r="N19" s="39">
        <v>0</v>
      </c>
      <c r="O19" s="39"/>
      <c r="P19" s="39"/>
      <c r="Q19" s="218">
        <f t="shared" si="0"/>
        <v>12</v>
      </c>
      <c r="R19" s="83">
        <v>0</v>
      </c>
      <c r="S19" s="47"/>
      <c r="T19" s="47"/>
      <c r="U19" s="47"/>
      <c r="V19" s="47"/>
      <c r="W19" s="1"/>
      <c r="X19" s="218">
        <f t="shared" si="1"/>
        <v>12</v>
      </c>
      <c r="Z19" s="91"/>
      <c r="AA19" s="92"/>
      <c r="AB19" s="86"/>
    </row>
    <row r="20" spans="1:28" ht="16.5" customHeight="1">
      <c r="A20" s="13">
        <v>17</v>
      </c>
      <c r="B20" s="39">
        <v>17</v>
      </c>
      <c r="C20" s="74" t="s">
        <v>153</v>
      </c>
      <c r="D20" s="68" t="s">
        <v>166</v>
      </c>
      <c r="E20" s="39" t="s">
        <v>3</v>
      </c>
      <c r="F20" s="39">
        <v>12</v>
      </c>
      <c r="G20" s="39">
        <v>0</v>
      </c>
      <c r="H20" s="39">
        <v>0</v>
      </c>
      <c r="I20" s="215">
        <v>0</v>
      </c>
      <c r="J20" s="353"/>
      <c r="K20" s="39">
        <v>0</v>
      </c>
      <c r="L20" s="39">
        <v>0</v>
      </c>
      <c r="M20" s="215">
        <v>0</v>
      </c>
      <c r="N20" s="39">
        <v>0</v>
      </c>
      <c r="O20" s="39"/>
      <c r="P20" s="39"/>
      <c r="Q20" s="218">
        <f t="shared" si="0"/>
        <v>12</v>
      </c>
      <c r="R20" s="83">
        <v>0</v>
      </c>
      <c r="S20" s="35"/>
      <c r="T20" s="35"/>
      <c r="U20" s="35"/>
      <c r="V20" s="35"/>
      <c r="W20" s="1"/>
      <c r="X20" s="218">
        <f t="shared" si="1"/>
        <v>12</v>
      </c>
      <c r="Z20" s="90"/>
      <c r="AA20" s="88"/>
      <c r="AB20" s="89"/>
    </row>
    <row r="21" spans="1:28" ht="16.5" customHeight="1">
      <c r="A21" s="13">
        <v>18</v>
      </c>
      <c r="B21" s="39">
        <v>18</v>
      </c>
      <c r="C21" s="74" t="s">
        <v>15</v>
      </c>
      <c r="D21" s="68" t="s">
        <v>166</v>
      </c>
      <c r="E21" s="39" t="s">
        <v>3</v>
      </c>
      <c r="F21" s="39">
        <v>12</v>
      </c>
      <c r="G21" s="39">
        <v>0</v>
      </c>
      <c r="H21" s="39">
        <v>0</v>
      </c>
      <c r="I21" s="215">
        <v>0</v>
      </c>
      <c r="J21" s="353"/>
      <c r="K21" s="39">
        <v>0</v>
      </c>
      <c r="L21" s="39">
        <v>0</v>
      </c>
      <c r="M21" s="215">
        <v>0</v>
      </c>
      <c r="N21" s="39">
        <v>0</v>
      </c>
      <c r="O21" s="39"/>
      <c r="P21" s="39"/>
      <c r="Q21" s="218">
        <f t="shared" si="0"/>
        <v>12</v>
      </c>
      <c r="R21" s="83">
        <v>0</v>
      </c>
      <c r="S21" s="35"/>
      <c r="T21" s="35"/>
      <c r="U21" s="35"/>
      <c r="V21" s="35"/>
      <c r="W21" s="1"/>
      <c r="X21" s="218">
        <f t="shared" si="1"/>
        <v>12</v>
      </c>
      <c r="Z21" s="91"/>
      <c r="AA21" s="92"/>
      <c r="AB21" s="86"/>
    </row>
    <row r="22" spans="1:28" ht="16.5" customHeight="1">
      <c r="A22" s="13">
        <v>19</v>
      </c>
      <c r="B22" s="39">
        <v>19</v>
      </c>
      <c r="C22" s="74" t="s">
        <v>16</v>
      </c>
      <c r="D22" s="68" t="s">
        <v>166</v>
      </c>
      <c r="E22" s="39" t="s">
        <v>3</v>
      </c>
      <c r="F22" s="39">
        <v>12</v>
      </c>
      <c r="G22" s="39">
        <v>0</v>
      </c>
      <c r="H22" s="39">
        <v>0</v>
      </c>
      <c r="I22" s="215">
        <v>0</v>
      </c>
      <c r="J22" s="353"/>
      <c r="K22" s="39">
        <v>0</v>
      </c>
      <c r="L22" s="39">
        <v>0</v>
      </c>
      <c r="M22" s="215">
        <v>0</v>
      </c>
      <c r="N22" s="39">
        <v>0</v>
      </c>
      <c r="O22" s="39"/>
      <c r="P22" s="39"/>
      <c r="Q22" s="218">
        <f t="shared" si="0"/>
        <v>12</v>
      </c>
      <c r="R22" s="83">
        <v>0</v>
      </c>
      <c r="S22" s="35"/>
      <c r="T22" s="35"/>
      <c r="U22" s="35"/>
      <c r="V22" s="35"/>
      <c r="W22" s="1"/>
      <c r="X22" s="218">
        <f t="shared" si="1"/>
        <v>12</v>
      </c>
      <c r="Z22" s="90"/>
      <c r="AA22" s="88"/>
      <c r="AB22" s="89"/>
    </row>
    <row r="23" spans="1:28" ht="16.5" customHeight="1">
      <c r="A23" s="13">
        <v>20</v>
      </c>
      <c r="B23" s="39">
        <v>20</v>
      </c>
      <c r="C23" s="74" t="s">
        <v>17</v>
      </c>
      <c r="D23" s="70" t="s">
        <v>167</v>
      </c>
      <c r="E23" s="39" t="s">
        <v>3</v>
      </c>
      <c r="F23" s="39">
        <v>24</v>
      </c>
      <c r="G23" s="39">
        <v>0</v>
      </c>
      <c r="H23" s="39">
        <v>0</v>
      </c>
      <c r="I23" s="215">
        <v>0</v>
      </c>
      <c r="J23" s="353"/>
      <c r="K23" s="39">
        <v>0</v>
      </c>
      <c r="L23" s="39">
        <v>0</v>
      </c>
      <c r="M23" s="215">
        <v>0</v>
      </c>
      <c r="N23" s="39">
        <v>0</v>
      </c>
      <c r="O23" s="39"/>
      <c r="P23" s="39"/>
      <c r="Q23" s="218">
        <f t="shared" si="0"/>
        <v>24</v>
      </c>
      <c r="R23" s="83">
        <v>0</v>
      </c>
      <c r="S23" s="35"/>
      <c r="T23" s="35"/>
      <c r="U23" s="35"/>
      <c r="V23" s="35"/>
      <c r="W23" s="1"/>
      <c r="X23" s="218">
        <f t="shared" si="1"/>
        <v>24</v>
      </c>
      <c r="Z23" s="90"/>
      <c r="AA23" s="88"/>
      <c r="AB23" s="89"/>
    </row>
    <row r="24" spans="1:28" ht="16.5" customHeight="1">
      <c r="A24" s="13">
        <v>21</v>
      </c>
      <c r="B24" s="39">
        <v>21</v>
      </c>
      <c r="C24" s="74" t="s">
        <v>18</v>
      </c>
      <c r="D24" s="70" t="s">
        <v>167</v>
      </c>
      <c r="E24" s="39" t="s">
        <v>3</v>
      </c>
      <c r="F24" s="39">
        <v>24</v>
      </c>
      <c r="G24" s="39">
        <v>0</v>
      </c>
      <c r="H24" s="39">
        <v>0</v>
      </c>
      <c r="I24" s="215">
        <v>0</v>
      </c>
      <c r="J24" s="353"/>
      <c r="K24" s="39">
        <v>0</v>
      </c>
      <c r="L24" s="39">
        <v>0</v>
      </c>
      <c r="M24" s="215">
        <v>0</v>
      </c>
      <c r="N24" s="39">
        <v>0</v>
      </c>
      <c r="O24" s="39"/>
      <c r="P24" s="39"/>
      <c r="Q24" s="218">
        <f t="shared" si="0"/>
        <v>24</v>
      </c>
      <c r="R24" s="83">
        <v>0</v>
      </c>
      <c r="S24" s="35"/>
      <c r="T24" s="35"/>
      <c r="U24" s="35"/>
      <c r="V24" s="35"/>
      <c r="W24" s="1"/>
      <c r="X24" s="218">
        <f t="shared" si="1"/>
        <v>24</v>
      </c>
      <c r="Z24" s="91"/>
      <c r="AA24" s="92"/>
      <c r="AB24" s="86"/>
    </row>
    <row r="25" spans="1:28" ht="16.5" customHeight="1">
      <c r="A25" s="13">
        <v>22</v>
      </c>
      <c r="B25" s="39">
        <v>22</v>
      </c>
      <c r="C25" s="74" t="s">
        <v>19</v>
      </c>
      <c r="D25" s="68" t="s">
        <v>168</v>
      </c>
      <c r="E25" s="39" t="s">
        <v>3</v>
      </c>
      <c r="F25" s="39">
        <v>6</v>
      </c>
      <c r="G25" s="39">
        <v>0</v>
      </c>
      <c r="H25" s="39">
        <v>0</v>
      </c>
      <c r="I25" s="215">
        <v>0</v>
      </c>
      <c r="J25" s="353"/>
      <c r="K25" s="39">
        <v>0</v>
      </c>
      <c r="L25" s="39">
        <v>0</v>
      </c>
      <c r="M25" s="215">
        <v>0</v>
      </c>
      <c r="N25" s="39">
        <v>0</v>
      </c>
      <c r="O25" s="39"/>
      <c r="P25" s="39"/>
      <c r="Q25" s="218">
        <f t="shared" si="0"/>
        <v>6</v>
      </c>
      <c r="R25" s="83">
        <v>0</v>
      </c>
      <c r="S25" s="35"/>
      <c r="T25" s="35"/>
      <c r="U25" s="35"/>
      <c r="V25" s="35"/>
      <c r="W25" s="1"/>
      <c r="X25" s="218">
        <f t="shared" si="1"/>
        <v>6</v>
      </c>
      <c r="Z25" s="91"/>
      <c r="AA25" s="92"/>
      <c r="AB25" s="86"/>
    </row>
    <row r="26" spans="1:28" ht="15" customHeight="1">
      <c r="A26" s="13">
        <v>23</v>
      </c>
      <c r="B26" s="39">
        <v>23</v>
      </c>
      <c r="C26" s="74" t="s">
        <v>154</v>
      </c>
      <c r="D26" s="68" t="s">
        <v>168</v>
      </c>
      <c r="E26" s="39" t="s">
        <v>3</v>
      </c>
      <c r="F26" s="39">
        <v>6</v>
      </c>
      <c r="G26" s="39">
        <v>0</v>
      </c>
      <c r="H26" s="39">
        <v>0</v>
      </c>
      <c r="I26" s="215">
        <v>0</v>
      </c>
      <c r="J26" s="353"/>
      <c r="K26" s="39">
        <v>0</v>
      </c>
      <c r="L26" s="39">
        <v>0</v>
      </c>
      <c r="M26" s="215">
        <v>0</v>
      </c>
      <c r="N26" s="39">
        <v>0</v>
      </c>
      <c r="O26" s="39"/>
      <c r="P26" s="39"/>
      <c r="Q26" s="218">
        <f t="shared" si="0"/>
        <v>6</v>
      </c>
      <c r="R26" s="83">
        <v>0</v>
      </c>
      <c r="S26" s="35"/>
      <c r="T26" s="35"/>
      <c r="U26" s="35"/>
      <c r="V26" s="35"/>
      <c r="W26" s="1"/>
      <c r="X26" s="218">
        <f t="shared" si="1"/>
        <v>6</v>
      </c>
      <c r="Z26" s="90"/>
      <c r="AA26" s="88"/>
      <c r="AB26" s="89"/>
    </row>
    <row r="27" spans="1:28" s="135" customFormat="1" ht="30" customHeight="1">
      <c r="A27" s="100">
        <v>1</v>
      </c>
      <c r="B27" s="98">
        <v>24</v>
      </c>
      <c r="C27" s="224" t="s">
        <v>169</v>
      </c>
      <c r="D27" s="220" t="s">
        <v>171</v>
      </c>
      <c r="E27" s="98" t="s">
        <v>3</v>
      </c>
      <c r="F27" s="98">
        <v>0</v>
      </c>
      <c r="G27" s="97">
        <v>10</v>
      </c>
      <c r="H27" s="98">
        <v>0</v>
      </c>
      <c r="I27" s="216">
        <v>0</v>
      </c>
      <c r="J27" s="353"/>
      <c r="K27" s="214">
        <v>3</v>
      </c>
      <c r="L27" s="214">
        <v>1</v>
      </c>
      <c r="M27" s="157">
        <v>0</v>
      </c>
      <c r="N27" s="226">
        <v>5</v>
      </c>
      <c r="O27" s="98" t="s">
        <v>553</v>
      </c>
      <c r="P27" s="98" t="s">
        <v>549</v>
      </c>
      <c r="Q27" s="217">
        <f>F27+G27+H27+I27+K27+L27-N27</f>
        <v>9</v>
      </c>
      <c r="R27" s="217">
        <f>F27+G27+H27+I27-Q27</f>
        <v>1</v>
      </c>
      <c r="S27" s="221" t="s">
        <v>527</v>
      </c>
      <c r="T27" s="221" t="s">
        <v>528</v>
      </c>
      <c r="U27" s="222" t="s">
        <v>605</v>
      </c>
      <c r="V27" s="222" t="s">
        <v>604</v>
      </c>
      <c r="W27" s="223"/>
      <c r="X27" s="217">
        <f t="shared" si="1"/>
        <v>9</v>
      </c>
      <c r="Z27" s="136"/>
      <c r="AA27" s="137"/>
      <c r="AB27" s="138"/>
    </row>
    <row r="28" spans="1:28" s="33" customFormat="1" ht="15" customHeight="1">
      <c r="A28" s="39">
        <v>1</v>
      </c>
      <c r="B28" s="39">
        <v>25</v>
      </c>
      <c r="C28" s="44" t="s">
        <v>402</v>
      </c>
      <c r="D28" s="71" t="s">
        <v>383</v>
      </c>
      <c r="E28" s="44" t="s">
        <v>3</v>
      </c>
      <c r="F28" s="39">
        <v>0</v>
      </c>
      <c r="G28" s="39">
        <v>0</v>
      </c>
      <c r="H28" s="73">
        <v>4</v>
      </c>
      <c r="I28" s="215">
        <v>0</v>
      </c>
      <c r="J28" s="353"/>
      <c r="K28" s="39">
        <v>0</v>
      </c>
      <c r="L28" s="39">
        <v>0</v>
      </c>
      <c r="M28" s="215">
        <v>0</v>
      </c>
      <c r="N28" s="39">
        <v>0</v>
      </c>
      <c r="O28" s="39"/>
      <c r="P28" s="39"/>
      <c r="Q28" s="218">
        <f>F28+G28+H28+I28+K28-N28</f>
        <v>4</v>
      </c>
      <c r="R28" s="83">
        <v>0</v>
      </c>
      <c r="S28" s="45"/>
      <c r="T28" s="45"/>
      <c r="U28" s="45"/>
      <c r="V28" s="45"/>
      <c r="W28" s="46"/>
      <c r="X28" s="218">
        <f t="shared" si="1"/>
        <v>4</v>
      </c>
    </row>
    <row r="29" spans="1:28" ht="15" customHeight="1">
      <c r="A29" s="13">
        <v>2</v>
      </c>
      <c r="B29" s="39">
        <v>26</v>
      </c>
      <c r="C29" s="44" t="s">
        <v>403</v>
      </c>
      <c r="D29" s="71" t="s">
        <v>383</v>
      </c>
      <c r="E29" s="44" t="s">
        <v>3</v>
      </c>
      <c r="F29" s="39">
        <v>0</v>
      </c>
      <c r="G29" s="39">
        <v>0</v>
      </c>
      <c r="H29" s="73">
        <v>4</v>
      </c>
      <c r="I29" s="215">
        <v>0</v>
      </c>
      <c r="J29" s="353"/>
      <c r="K29" s="39">
        <v>0</v>
      </c>
      <c r="L29" s="39">
        <v>0</v>
      </c>
      <c r="M29" s="215">
        <v>0</v>
      </c>
      <c r="N29" s="39">
        <v>0</v>
      </c>
      <c r="O29" s="39"/>
      <c r="P29" s="39"/>
      <c r="Q29" s="218">
        <f t="shared" ref="Q29:Q34" si="2">F29+G29+H29+I29-N29</f>
        <v>4</v>
      </c>
      <c r="R29" s="83">
        <v>0</v>
      </c>
      <c r="S29" s="45"/>
      <c r="T29" s="45"/>
      <c r="U29" s="45"/>
      <c r="V29" s="45"/>
      <c r="W29" s="1"/>
      <c r="X29" s="218">
        <f t="shared" si="1"/>
        <v>4</v>
      </c>
    </row>
    <row r="30" spans="1:28" ht="15" customHeight="1">
      <c r="A30" s="39">
        <v>3</v>
      </c>
      <c r="B30" s="39">
        <v>27</v>
      </c>
      <c r="C30" s="44" t="s">
        <v>405</v>
      </c>
      <c r="D30" s="71" t="s">
        <v>384</v>
      </c>
      <c r="E30" s="44" t="s">
        <v>3</v>
      </c>
      <c r="F30" s="39">
        <v>0</v>
      </c>
      <c r="G30" s="39">
        <v>0</v>
      </c>
      <c r="H30" s="73">
        <v>4</v>
      </c>
      <c r="I30" s="215">
        <v>0</v>
      </c>
      <c r="J30" s="353"/>
      <c r="K30" s="39">
        <v>0</v>
      </c>
      <c r="L30" s="39">
        <v>0</v>
      </c>
      <c r="M30" s="215">
        <v>0</v>
      </c>
      <c r="N30" s="39">
        <v>0</v>
      </c>
      <c r="O30" s="39"/>
      <c r="P30" s="39"/>
      <c r="Q30" s="218">
        <f t="shared" si="2"/>
        <v>4</v>
      </c>
      <c r="R30" s="83">
        <v>0</v>
      </c>
      <c r="S30" s="45"/>
      <c r="T30" s="45"/>
      <c r="U30" s="45"/>
      <c r="V30" s="45"/>
      <c r="W30" s="1"/>
      <c r="X30" s="218">
        <f t="shared" si="1"/>
        <v>4</v>
      </c>
    </row>
    <row r="31" spans="1:28" ht="15" customHeight="1">
      <c r="A31" s="13">
        <v>4</v>
      </c>
      <c r="B31" s="39">
        <v>28</v>
      </c>
      <c r="C31" s="44" t="s">
        <v>404</v>
      </c>
      <c r="D31" s="71" t="s">
        <v>384</v>
      </c>
      <c r="E31" s="44" t="s">
        <v>3</v>
      </c>
      <c r="F31" s="39">
        <v>0</v>
      </c>
      <c r="G31" s="39">
        <v>0</v>
      </c>
      <c r="H31" s="73">
        <v>4</v>
      </c>
      <c r="I31" s="215">
        <v>0</v>
      </c>
      <c r="J31" s="353"/>
      <c r="K31" s="39">
        <v>0</v>
      </c>
      <c r="L31" s="39">
        <v>0</v>
      </c>
      <c r="M31" s="215">
        <v>0</v>
      </c>
      <c r="N31" s="39">
        <v>0</v>
      </c>
      <c r="O31" s="39"/>
      <c r="P31" s="39"/>
      <c r="Q31" s="218">
        <f t="shared" si="2"/>
        <v>4</v>
      </c>
      <c r="R31" s="83">
        <v>0</v>
      </c>
      <c r="S31" s="45"/>
      <c r="T31" s="45"/>
      <c r="U31" s="45"/>
      <c r="V31" s="45"/>
      <c r="W31" s="1"/>
      <c r="X31" s="218">
        <f t="shared" si="1"/>
        <v>4</v>
      </c>
    </row>
    <row r="32" spans="1:28" ht="15" customHeight="1">
      <c r="A32" s="39">
        <v>5</v>
      </c>
      <c r="B32" s="39">
        <v>29</v>
      </c>
      <c r="C32" s="37" t="s">
        <v>12</v>
      </c>
      <c r="D32" s="213" t="s">
        <v>383</v>
      </c>
      <c r="E32" s="37" t="s">
        <v>3</v>
      </c>
      <c r="F32" s="37">
        <v>0</v>
      </c>
      <c r="G32" s="37">
        <v>0</v>
      </c>
      <c r="H32" s="132">
        <v>8</v>
      </c>
      <c r="I32" s="157">
        <v>0</v>
      </c>
      <c r="J32" s="353"/>
      <c r="K32" s="37">
        <v>0</v>
      </c>
      <c r="L32" s="37">
        <v>0</v>
      </c>
      <c r="M32" s="215">
        <v>0</v>
      </c>
      <c r="N32" s="37">
        <v>0</v>
      </c>
      <c r="Q32" s="218">
        <f t="shared" si="2"/>
        <v>8</v>
      </c>
      <c r="R32" s="218">
        <v>0</v>
      </c>
      <c r="S32" s="1"/>
      <c r="T32" s="1"/>
      <c r="U32" s="1"/>
      <c r="V32" s="1"/>
      <c r="W32" s="1"/>
      <c r="X32" s="218">
        <f t="shared" si="1"/>
        <v>8</v>
      </c>
    </row>
    <row r="33" spans="1:24" ht="15" customHeight="1">
      <c r="A33" s="13">
        <v>6</v>
      </c>
      <c r="B33" s="39">
        <v>30</v>
      </c>
      <c r="C33" s="44" t="s">
        <v>406</v>
      </c>
      <c r="D33" s="71" t="s">
        <v>385</v>
      </c>
      <c r="E33" s="44" t="s">
        <v>3</v>
      </c>
      <c r="F33" s="39">
        <v>0</v>
      </c>
      <c r="G33" s="39">
        <v>0</v>
      </c>
      <c r="H33" s="73">
        <v>6</v>
      </c>
      <c r="I33" s="215">
        <v>0</v>
      </c>
      <c r="J33" s="353"/>
      <c r="K33" s="39">
        <v>0</v>
      </c>
      <c r="L33" s="39">
        <v>0</v>
      </c>
      <c r="M33" s="215">
        <v>0</v>
      </c>
      <c r="N33" s="39">
        <v>0</v>
      </c>
      <c r="O33" s="39"/>
      <c r="P33" s="39"/>
      <c r="Q33" s="218">
        <f t="shared" si="2"/>
        <v>6</v>
      </c>
      <c r="R33" s="83">
        <v>0</v>
      </c>
      <c r="S33" s="45"/>
      <c r="T33" s="45"/>
      <c r="U33" s="45"/>
      <c r="V33" s="45"/>
      <c r="W33" s="1"/>
      <c r="X33" s="218">
        <f t="shared" si="1"/>
        <v>6</v>
      </c>
    </row>
    <row r="34" spans="1:24" ht="15" customHeight="1">
      <c r="A34" s="39">
        <v>7</v>
      </c>
      <c r="B34" s="39">
        <v>31</v>
      </c>
      <c r="C34" s="44" t="s">
        <v>13</v>
      </c>
      <c r="D34" s="71" t="s">
        <v>407</v>
      </c>
      <c r="E34" s="44" t="s">
        <v>3</v>
      </c>
      <c r="F34" s="39">
        <v>0</v>
      </c>
      <c r="G34" s="39">
        <v>0</v>
      </c>
      <c r="H34" s="73">
        <v>2</v>
      </c>
      <c r="I34" s="215">
        <v>0</v>
      </c>
      <c r="J34" s="353"/>
      <c r="K34" s="39">
        <v>0</v>
      </c>
      <c r="L34" s="39">
        <v>0</v>
      </c>
      <c r="M34" s="215">
        <v>0</v>
      </c>
      <c r="N34" s="39">
        <v>0</v>
      </c>
      <c r="O34" s="39"/>
      <c r="P34" s="39"/>
      <c r="Q34" s="218">
        <f t="shared" si="2"/>
        <v>2</v>
      </c>
      <c r="R34" s="83">
        <v>0</v>
      </c>
      <c r="S34" s="45"/>
      <c r="T34" s="45"/>
      <c r="U34" s="45"/>
      <c r="V34" s="45"/>
      <c r="W34" s="1"/>
      <c r="X34" s="218">
        <f t="shared" si="1"/>
        <v>2</v>
      </c>
    </row>
    <row r="35" spans="1:24" ht="30" customHeight="1">
      <c r="A35" s="100">
        <v>8</v>
      </c>
      <c r="B35" s="98">
        <v>32</v>
      </c>
      <c r="C35" s="98" t="s">
        <v>408</v>
      </c>
      <c r="D35" s="225" t="s">
        <v>386</v>
      </c>
      <c r="E35" s="98" t="s">
        <v>3</v>
      </c>
      <c r="F35" s="98">
        <v>0</v>
      </c>
      <c r="G35" s="98">
        <v>0</v>
      </c>
      <c r="H35" s="97">
        <v>2</v>
      </c>
      <c r="I35" s="216">
        <v>4</v>
      </c>
      <c r="J35" s="353"/>
      <c r="K35" s="37">
        <v>0</v>
      </c>
      <c r="L35" s="37">
        <v>0</v>
      </c>
      <c r="M35" s="214">
        <v>6</v>
      </c>
      <c r="N35" s="226">
        <v>6</v>
      </c>
      <c r="O35" s="98" t="s">
        <v>674</v>
      </c>
      <c r="P35" s="98" t="s">
        <v>675</v>
      </c>
      <c r="Q35" s="217">
        <f>F35+G35+H35+I35+K35+L35+M35-N35</f>
        <v>6</v>
      </c>
      <c r="R35" s="217">
        <v>0</v>
      </c>
      <c r="S35" s="217" t="s">
        <v>676</v>
      </c>
      <c r="T35" s="217" t="s">
        <v>677</v>
      </c>
      <c r="U35" s="217" t="s">
        <v>678</v>
      </c>
      <c r="V35" s="99" t="s">
        <v>679</v>
      </c>
      <c r="W35" s="221" t="s">
        <v>682</v>
      </c>
      <c r="X35" s="217">
        <f t="shared" si="1"/>
        <v>6</v>
      </c>
    </row>
    <row r="36" spans="1:24" ht="15" customHeight="1">
      <c r="A36" s="39">
        <v>9</v>
      </c>
      <c r="B36" s="39">
        <v>33</v>
      </c>
      <c r="C36" s="44" t="s">
        <v>409</v>
      </c>
      <c r="D36" s="71" t="s">
        <v>387</v>
      </c>
      <c r="E36" s="44" t="s">
        <v>3</v>
      </c>
      <c r="F36" s="39">
        <v>0</v>
      </c>
      <c r="G36" s="39">
        <v>0</v>
      </c>
      <c r="H36" s="73">
        <v>6</v>
      </c>
      <c r="I36" s="215">
        <v>0</v>
      </c>
      <c r="J36" s="353"/>
      <c r="K36" s="39">
        <v>0</v>
      </c>
      <c r="L36" s="39">
        <v>0</v>
      </c>
      <c r="M36" s="215">
        <v>0</v>
      </c>
      <c r="N36" s="39">
        <v>0</v>
      </c>
      <c r="O36" s="39"/>
      <c r="P36" s="39"/>
      <c r="Q36" s="218">
        <f t="shared" ref="Q36:Q61" si="3">F36+G36+H36+I36-N36</f>
        <v>6</v>
      </c>
      <c r="R36" s="83">
        <v>0</v>
      </c>
      <c r="S36" s="45"/>
      <c r="T36" s="45"/>
      <c r="U36" s="45"/>
      <c r="V36" s="45"/>
      <c r="W36" s="1"/>
      <c r="X36" s="218">
        <f t="shared" si="1"/>
        <v>6</v>
      </c>
    </row>
    <row r="37" spans="1:24" ht="15" customHeight="1">
      <c r="A37" s="13">
        <v>10</v>
      </c>
      <c r="B37" s="39">
        <v>34</v>
      </c>
      <c r="C37" s="44" t="s">
        <v>410</v>
      </c>
      <c r="D37" s="71" t="s">
        <v>387</v>
      </c>
      <c r="E37" s="44" t="s">
        <v>3</v>
      </c>
      <c r="F37" s="39">
        <v>0</v>
      </c>
      <c r="G37" s="39">
        <v>0</v>
      </c>
      <c r="H37" s="73">
        <v>6</v>
      </c>
      <c r="I37" s="215">
        <v>0</v>
      </c>
      <c r="J37" s="353"/>
      <c r="K37" s="39">
        <v>0</v>
      </c>
      <c r="L37" s="39">
        <v>0</v>
      </c>
      <c r="M37" s="215">
        <v>0</v>
      </c>
      <c r="N37" s="39">
        <v>0</v>
      </c>
      <c r="O37" s="39"/>
      <c r="P37" s="39"/>
      <c r="Q37" s="218">
        <f t="shared" si="3"/>
        <v>6</v>
      </c>
      <c r="R37" s="83">
        <v>0</v>
      </c>
      <c r="S37" s="45"/>
      <c r="T37" s="45"/>
      <c r="U37" s="45"/>
      <c r="V37" s="45"/>
      <c r="W37" s="1"/>
      <c r="X37" s="218">
        <f t="shared" si="1"/>
        <v>6</v>
      </c>
    </row>
    <row r="38" spans="1:24" ht="15" customHeight="1">
      <c r="A38" s="167">
        <v>11</v>
      </c>
      <c r="B38" s="167">
        <v>35</v>
      </c>
      <c r="C38" s="167" t="s">
        <v>411</v>
      </c>
      <c r="D38" s="168" t="s">
        <v>388</v>
      </c>
      <c r="E38" s="167" t="s">
        <v>3</v>
      </c>
      <c r="F38" s="167">
        <v>0</v>
      </c>
      <c r="G38" s="167">
        <v>0</v>
      </c>
      <c r="H38" s="169">
        <v>10</v>
      </c>
      <c r="I38" s="231">
        <v>0</v>
      </c>
      <c r="J38" s="353"/>
      <c r="K38" s="167">
        <v>0</v>
      </c>
      <c r="L38" s="167">
        <v>0</v>
      </c>
      <c r="M38" s="231">
        <v>0</v>
      </c>
      <c r="N38" s="167">
        <v>0</v>
      </c>
      <c r="O38" s="167"/>
      <c r="P38" s="167"/>
      <c r="Q38" s="218">
        <f t="shared" si="3"/>
        <v>10</v>
      </c>
      <c r="R38" s="83">
        <v>0</v>
      </c>
      <c r="S38" s="171"/>
      <c r="T38" s="171"/>
      <c r="U38" s="171"/>
      <c r="V38" s="171"/>
      <c r="W38" s="172" t="s">
        <v>596</v>
      </c>
      <c r="X38" s="218">
        <f t="shared" si="1"/>
        <v>10</v>
      </c>
    </row>
    <row r="39" spans="1:24" ht="15" customHeight="1">
      <c r="A39" s="170">
        <v>12</v>
      </c>
      <c r="B39" s="167">
        <v>36</v>
      </c>
      <c r="C39" s="167" t="s">
        <v>412</v>
      </c>
      <c r="D39" s="168" t="s">
        <v>388</v>
      </c>
      <c r="E39" s="167" t="s">
        <v>3</v>
      </c>
      <c r="F39" s="167">
        <v>0</v>
      </c>
      <c r="G39" s="167">
        <v>0</v>
      </c>
      <c r="H39" s="169">
        <v>10</v>
      </c>
      <c r="I39" s="231">
        <v>0</v>
      </c>
      <c r="J39" s="353"/>
      <c r="K39" s="167">
        <v>0</v>
      </c>
      <c r="L39" s="167">
        <v>0</v>
      </c>
      <c r="M39" s="231">
        <v>0</v>
      </c>
      <c r="N39" s="167">
        <v>0</v>
      </c>
      <c r="O39" s="167"/>
      <c r="P39" s="167"/>
      <c r="Q39" s="218">
        <f t="shared" si="3"/>
        <v>10</v>
      </c>
      <c r="R39" s="83">
        <v>0</v>
      </c>
      <c r="S39" s="171"/>
      <c r="T39" s="171"/>
      <c r="U39" s="171"/>
      <c r="V39" s="171"/>
      <c r="W39" s="172" t="s">
        <v>596</v>
      </c>
      <c r="X39" s="218">
        <f t="shared" si="1"/>
        <v>10</v>
      </c>
    </row>
    <row r="40" spans="1:24" ht="15" customHeight="1">
      <c r="A40" s="167">
        <v>13</v>
      </c>
      <c r="B40" s="167">
        <v>37</v>
      </c>
      <c r="C40" s="167" t="s">
        <v>413</v>
      </c>
      <c r="D40" s="168" t="s">
        <v>389</v>
      </c>
      <c r="E40" s="167" t="s">
        <v>3</v>
      </c>
      <c r="F40" s="167">
        <v>0</v>
      </c>
      <c r="G40" s="167">
        <v>0</v>
      </c>
      <c r="H40" s="169">
        <v>40</v>
      </c>
      <c r="I40" s="231">
        <v>0</v>
      </c>
      <c r="J40" s="353"/>
      <c r="K40" s="167">
        <v>0</v>
      </c>
      <c r="L40" s="167">
        <v>0</v>
      </c>
      <c r="M40" s="231">
        <v>0</v>
      </c>
      <c r="N40" s="167">
        <v>0</v>
      </c>
      <c r="O40" s="167"/>
      <c r="P40" s="167"/>
      <c r="Q40" s="218">
        <f t="shared" si="3"/>
        <v>40</v>
      </c>
      <c r="R40" s="83">
        <v>0</v>
      </c>
      <c r="S40" s="171"/>
      <c r="T40" s="171"/>
      <c r="U40" s="171"/>
      <c r="V40" s="171"/>
      <c r="W40" s="172" t="s">
        <v>596</v>
      </c>
      <c r="X40" s="218">
        <f t="shared" si="1"/>
        <v>40</v>
      </c>
    </row>
    <row r="41" spans="1:24" ht="15" customHeight="1">
      <c r="A41" s="170">
        <v>14</v>
      </c>
      <c r="B41" s="167">
        <v>38</v>
      </c>
      <c r="C41" s="167" t="s">
        <v>414</v>
      </c>
      <c r="D41" s="168" t="s">
        <v>390</v>
      </c>
      <c r="E41" s="167" t="s">
        <v>3</v>
      </c>
      <c r="F41" s="167">
        <v>0</v>
      </c>
      <c r="G41" s="167">
        <v>0</v>
      </c>
      <c r="H41" s="169">
        <v>40</v>
      </c>
      <c r="I41" s="231">
        <v>0</v>
      </c>
      <c r="J41" s="353"/>
      <c r="K41" s="167">
        <v>0</v>
      </c>
      <c r="L41" s="167">
        <v>0</v>
      </c>
      <c r="M41" s="231">
        <v>0</v>
      </c>
      <c r="N41" s="167">
        <v>0</v>
      </c>
      <c r="O41" s="167"/>
      <c r="P41" s="167"/>
      <c r="Q41" s="218">
        <f t="shared" si="3"/>
        <v>40</v>
      </c>
      <c r="R41" s="83">
        <v>0</v>
      </c>
      <c r="S41" s="171"/>
      <c r="T41" s="171"/>
      <c r="U41" s="171"/>
      <c r="V41" s="171"/>
      <c r="W41" s="172" t="s">
        <v>596</v>
      </c>
      <c r="X41" s="218">
        <f t="shared" si="1"/>
        <v>40</v>
      </c>
    </row>
    <row r="42" spans="1:24" ht="15" customHeight="1">
      <c r="A42" s="167">
        <v>15</v>
      </c>
      <c r="B42" s="167">
        <v>39</v>
      </c>
      <c r="C42" s="167" t="s">
        <v>415</v>
      </c>
      <c r="D42" s="168" t="s">
        <v>390</v>
      </c>
      <c r="E42" s="167" t="s">
        <v>3</v>
      </c>
      <c r="F42" s="167">
        <v>0</v>
      </c>
      <c r="G42" s="167">
        <v>0</v>
      </c>
      <c r="H42" s="169">
        <v>240</v>
      </c>
      <c r="I42" s="231">
        <v>0</v>
      </c>
      <c r="J42" s="353"/>
      <c r="K42" s="167">
        <v>0</v>
      </c>
      <c r="L42" s="167">
        <v>0</v>
      </c>
      <c r="M42" s="231">
        <v>0</v>
      </c>
      <c r="N42" s="167">
        <v>0</v>
      </c>
      <c r="O42" s="167"/>
      <c r="P42" s="167"/>
      <c r="Q42" s="218">
        <f t="shared" si="3"/>
        <v>240</v>
      </c>
      <c r="R42" s="83">
        <v>0</v>
      </c>
      <c r="S42" s="171"/>
      <c r="T42" s="171"/>
      <c r="U42" s="171"/>
      <c r="V42" s="171"/>
      <c r="W42" s="172" t="s">
        <v>596</v>
      </c>
      <c r="X42" s="218">
        <f t="shared" si="1"/>
        <v>240</v>
      </c>
    </row>
    <row r="43" spans="1:24" ht="15" customHeight="1">
      <c r="A43" s="170">
        <v>16</v>
      </c>
      <c r="B43" s="167">
        <v>40</v>
      </c>
      <c r="C43" s="167" t="s">
        <v>416</v>
      </c>
      <c r="D43" s="168" t="s">
        <v>390</v>
      </c>
      <c r="E43" s="167" t="s">
        <v>3</v>
      </c>
      <c r="F43" s="167">
        <v>0</v>
      </c>
      <c r="G43" s="167">
        <v>0</v>
      </c>
      <c r="H43" s="169">
        <v>40</v>
      </c>
      <c r="I43" s="231">
        <v>0</v>
      </c>
      <c r="J43" s="353"/>
      <c r="K43" s="167">
        <v>0</v>
      </c>
      <c r="L43" s="167">
        <v>0</v>
      </c>
      <c r="M43" s="231">
        <v>0</v>
      </c>
      <c r="N43" s="167">
        <v>0</v>
      </c>
      <c r="O43" s="167"/>
      <c r="P43" s="167"/>
      <c r="Q43" s="218">
        <f t="shared" si="3"/>
        <v>40</v>
      </c>
      <c r="R43" s="83">
        <v>0</v>
      </c>
      <c r="S43" s="171"/>
      <c r="T43" s="171"/>
      <c r="U43" s="171"/>
      <c r="V43" s="171"/>
      <c r="W43" s="172" t="s">
        <v>596</v>
      </c>
      <c r="X43" s="218">
        <f t="shared" si="1"/>
        <v>40</v>
      </c>
    </row>
    <row r="44" spans="1:24" ht="15" customHeight="1">
      <c r="A44" s="167">
        <v>17</v>
      </c>
      <c r="B44" s="167">
        <v>41</v>
      </c>
      <c r="C44" s="167" t="s">
        <v>597</v>
      </c>
      <c r="D44" s="168" t="s">
        <v>390</v>
      </c>
      <c r="E44" s="167" t="s">
        <v>3</v>
      </c>
      <c r="F44" s="167">
        <v>0</v>
      </c>
      <c r="G44" s="167">
        <v>0</v>
      </c>
      <c r="H44" s="169">
        <v>440</v>
      </c>
      <c r="I44" s="231">
        <v>0</v>
      </c>
      <c r="J44" s="353"/>
      <c r="K44" s="167">
        <v>0</v>
      </c>
      <c r="L44" s="167">
        <v>0</v>
      </c>
      <c r="M44" s="231">
        <v>0</v>
      </c>
      <c r="N44" s="167">
        <v>0</v>
      </c>
      <c r="O44" s="167"/>
      <c r="P44" s="167"/>
      <c r="Q44" s="218">
        <f t="shared" si="3"/>
        <v>440</v>
      </c>
      <c r="R44" s="83">
        <v>0</v>
      </c>
      <c r="S44" s="171"/>
      <c r="T44" s="171"/>
      <c r="U44" s="171"/>
      <c r="V44" s="171"/>
      <c r="W44" s="172" t="s">
        <v>596</v>
      </c>
      <c r="X44" s="218">
        <f t="shared" si="1"/>
        <v>440</v>
      </c>
    </row>
    <row r="45" spans="1:24" ht="15" customHeight="1">
      <c r="A45" s="170">
        <v>18</v>
      </c>
      <c r="B45" s="167">
        <v>42</v>
      </c>
      <c r="C45" s="167" t="s">
        <v>417</v>
      </c>
      <c r="D45" s="168" t="s">
        <v>391</v>
      </c>
      <c r="E45" s="167" t="s">
        <v>3</v>
      </c>
      <c r="F45" s="167">
        <v>0</v>
      </c>
      <c r="G45" s="167">
        <v>0</v>
      </c>
      <c r="H45" s="169">
        <v>120</v>
      </c>
      <c r="I45" s="231">
        <v>0</v>
      </c>
      <c r="J45" s="353"/>
      <c r="K45" s="167">
        <v>0</v>
      </c>
      <c r="L45" s="167">
        <v>0</v>
      </c>
      <c r="M45" s="231">
        <v>0</v>
      </c>
      <c r="N45" s="167">
        <v>0</v>
      </c>
      <c r="O45" s="167"/>
      <c r="P45" s="167"/>
      <c r="Q45" s="218">
        <f t="shared" si="3"/>
        <v>120</v>
      </c>
      <c r="R45" s="83">
        <v>0</v>
      </c>
      <c r="S45" s="171"/>
      <c r="T45" s="171"/>
      <c r="U45" s="171"/>
      <c r="V45" s="171"/>
      <c r="W45" s="172" t="s">
        <v>596</v>
      </c>
      <c r="X45" s="218">
        <f t="shared" si="1"/>
        <v>120</v>
      </c>
    </row>
    <row r="46" spans="1:24" ht="15" customHeight="1">
      <c r="A46" s="167">
        <v>19</v>
      </c>
      <c r="B46" s="167">
        <v>43</v>
      </c>
      <c r="C46" s="167" t="s">
        <v>418</v>
      </c>
      <c r="D46" s="168" t="s">
        <v>595</v>
      </c>
      <c r="E46" s="167" t="s">
        <v>3</v>
      </c>
      <c r="F46" s="167">
        <v>0</v>
      </c>
      <c r="G46" s="167">
        <v>0</v>
      </c>
      <c r="H46" s="169">
        <v>80</v>
      </c>
      <c r="I46" s="231">
        <v>0</v>
      </c>
      <c r="J46" s="353"/>
      <c r="K46" s="167">
        <v>0</v>
      </c>
      <c r="L46" s="167">
        <v>0</v>
      </c>
      <c r="M46" s="231">
        <v>0</v>
      </c>
      <c r="N46" s="167">
        <v>0</v>
      </c>
      <c r="O46" s="167"/>
      <c r="P46" s="167"/>
      <c r="Q46" s="218">
        <f t="shared" si="3"/>
        <v>80</v>
      </c>
      <c r="R46" s="83">
        <v>0</v>
      </c>
      <c r="S46" s="171"/>
      <c r="T46" s="171"/>
      <c r="U46" s="171"/>
      <c r="V46" s="171"/>
      <c r="W46" s="172" t="s">
        <v>596</v>
      </c>
      <c r="X46" s="218">
        <f t="shared" si="1"/>
        <v>80</v>
      </c>
    </row>
    <row r="47" spans="1:24" ht="15" customHeight="1">
      <c r="A47" s="170">
        <v>20</v>
      </c>
      <c r="B47" s="167">
        <v>44</v>
      </c>
      <c r="C47" s="167" t="s">
        <v>419</v>
      </c>
      <c r="D47" s="168" t="s">
        <v>392</v>
      </c>
      <c r="E47" s="167" t="s">
        <v>3</v>
      </c>
      <c r="F47" s="167">
        <v>0</v>
      </c>
      <c r="G47" s="167">
        <v>0</v>
      </c>
      <c r="H47" s="169">
        <v>87</v>
      </c>
      <c r="I47" s="231">
        <v>0</v>
      </c>
      <c r="J47" s="353"/>
      <c r="K47" s="167">
        <v>0</v>
      </c>
      <c r="L47" s="167">
        <v>0</v>
      </c>
      <c r="M47" s="231">
        <v>0</v>
      </c>
      <c r="N47" s="167">
        <v>0</v>
      </c>
      <c r="O47" s="167"/>
      <c r="P47" s="167"/>
      <c r="Q47" s="218">
        <f t="shared" si="3"/>
        <v>87</v>
      </c>
      <c r="R47" s="83">
        <v>0</v>
      </c>
      <c r="S47" s="171"/>
      <c r="T47" s="171"/>
      <c r="U47" s="171"/>
      <c r="V47" s="171"/>
      <c r="W47" s="172" t="s">
        <v>596</v>
      </c>
      <c r="X47" s="218">
        <f t="shared" si="1"/>
        <v>87</v>
      </c>
    </row>
    <row r="48" spans="1:24" ht="15" customHeight="1">
      <c r="A48" s="39">
        <v>21</v>
      </c>
      <c r="B48" s="39">
        <v>45</v>
      </c>
      <c r="C48" s="44" t="s">
        <v>420</v>
      </c>
      <c r="D48" s="71" t="s">
        <v>393</v>
      </c>
      <c r="E48" s="44" t="s">
        <v>3</v>
      </c>
      <c r="F48" s="39">
        <v>0</v>
      </c>
      <c r="G48" s="39">
        <v>0</v>
      </c>
      <c r="H48" s="73">
        <v>160</v>
      </c>
      <c r="I48" s="215">
        <v>0</v>
      </c>
      <c r="J48" s="353"/>
      <c r="K48" s="39">
        <v>0</v>
      </c>
      <c r="L48" s="39">
        <v>0</v>
      </c>
      <c r="M48" s="215">
        <v>0</v>
      </c>
      <c r="N48" s="39">
        <v>0</v>
      </c>
      <c r="O48" s="39"/>
      <c r="P48" s="39"/>
      <c r="Q48" s="218">
        <f t="shared" si="3"/>
        <v>160</v>
      </c>
      <c r="R48" s="83">
        <v>0</v>
      </c>
      <c r="S48" s="45"/>
      <c r="T48" s="45"/>
      <c r="U48" s="45"/>
      <c r="V48" s="45"/>
      <c r="W48" s="1"/>
      <c r="X48" s="218">
        <f t="shared" si="1"/>
        <v>160</v>
      </c>
    </row>
    <row r="49" spans="1:27" ht="15" customHeight="1">
      <c r="A49" s="13">
        <v>22</v>
      </c>
      <c r="B49" s="39">
        <v>46</v>
      </c>
      <c r="C49" s="44">
        <v>474815</v>
      </c>
      <c r="D49" s="71" t="s">
        <v>394</v>
      </c>
      <c r="E49" s="44" t="s">
        <v>3</v>
      </c>
      <c r="F49" s="39">
        <v>0</v>
      </c>
      <c r="G49" s="39">
        <v>0</v>
      </c>
      <c r="H49" s="73">
        <v>220</v>
      </c>
      <c r="I49" s="215">
        <v>0</v>
      </c>
      <c r="J49" s="353"/>
      <c r="K49" s="39">
        <v>0</v>
      </c>
      <c r="L49" s="39">
        <v>0</v>
      </c>
      <c r="M49" s="215">
        <v>0</v>
      </c>
      <c r="N49" s="39">
        <v>0</v>
      </c>
      <c r="O49" s="39"/>
      <c r="P49" s="39"/>
      <c r="Q49" s="218">
        <f t="shared" si="3"/>
        <v>220</v>
      </c>
      <c r="R49" s="83">
        <v>0</v>
      </c>
      <c r="S49" s="45"/>
      <c r="T49" s="45"/>
      <c r="U49" s="45"/>
      <c r="V49" s="45"/>
      <c r="W49" s="1"/>
      <c r="X49" s="218">
        <f t="shared" si="1"/>
        <v>220</v>
      </c>
    </row>
    <row r="50" spans="1:27" ht="15" customHeight="1">
      <c r="A50" s="39">
        <v>23</v>
      </c>
      <c r="B50" s="39">
        <v>47</v>
      </c>
      <c r="C50" s="44">
        <v>475660</v>
      </c>
      <c r="D50" s="71" t="s">
        <v>395</v>
      </c>
      <c r="E50" s="44" t="s">
        <v>3</v>
      </c>
      <c r="F50" s="39">
        <v>0</v>
      </c>
      <c r="G50" s="39">
        <v>0</v>
      </c>
      <c r="H50" s="73">
        <v>160</v>
      </c>
      <c r="I50" s="215">
        <v>0</v>
      </c>
      <c r="J50" s="353"/>
      <c r="K50" s="39">
        <v>0</v>
      </c>
      <c r="L50" s="39">
        <v>0</v>
      </c>
      <c r="M50" s="215">
        <v>0</v>
      </c>
      <c r="N50" s="39">
        <v>0</v>
      </c>
      <c r="O50" s="39"/>
      <c r="P50" s="39"/>
      <c r="Q50" s="218">
        <f t="shared" si="3"/>
        <v>160</v>
      </c>
      <c r="R50" s="83">
        <v>0</v>
      </c>
      <c r="S50" s="45"/>
      <c r="T50" s="45"/>
      <c r="U50" s="45"/>
      <c r="V50" s="45"/>
      <c r="W50" s="1"/>
      <c r="X50" s="218">
        <f t="shared" si="1"/>
        <v>160</v>
      </c>
    </row>
    <row r="51" spans="1:27" ht="15" customHeight="1">
      <c r="A51" s="13">
        <v>24</v>
      </c>
      <c r="B51" s="39">
        <v>48</v>
      </c>
      <c r="C51" s="44">
        <v>477305</v>
      </c>
      <c r="D51" s="71" t="s">
        <v>396</v>
      </c>
      <c r="E51" s="44" t="s">
        <v>3</v>
      </c>
      <c r="F51" s="39">
        <v>0</v>
      </c>
      <c r="G51" s="39">
        <v>0</v>
      </c>
      <c r="H51" s="73">
        <v>80</v>
      </c>
      <c r="I51" s="215">
        <v>0</v>
      </c>
      <c r="J51" s="353"/>
      <c r="K51" s="39">
        <v>0</v>
      </c>
      <c r="L51" s="39">
        <v>0</v>
      </c>
      <c r="M51" s="215">
        <v>0</v>
      </c>
      <c r="N51" s="39">
        <v>0</v>
      </c>
      <c r="O51" s="39"/>
      <c r="P51" s="39"/>
      <c r="Q51" s="218">
        <f t="shared" si="3"/>
        <v>80</v>
      </c>
      <c r="R51" s="83">
        <v>0</v>
      </c>
      <c r="S51" s="45"/>
      <c r="T51" s="45"/>
      <c r="U51" s="45"/>
      <c r="V51" s="45"/>
      <c r="W51" s="1"/>
      <c r="X51" s="218">
        <f t="shared" si="1"/>
        <v>80</v>
      </c>
    </row>
    <row r="52" spans="1:27" ht="15" customHeight="1">
      <c r="A52" s="39">
        <v>25</v>
      </c>
      <c r="B52" s="39">
        <v>49</v>
      </c>
      <c r="C52" s="44">
        <v>478090</v>
      </c>
      <c r="D52" s="71" t="s">
        <v>594</v>
      </c>
      <c r="E52" s="44" t="s">
        <v>3</v>
      </c>
      <c r="F52" s="39">
        <v>0</v>
      </c>
      <c r="G52" s="39">
        <v>0</v>
      </c>
      <c r="H52" s="73">
        <v>100</v>
      </c>
      <c r="I52" s="215">
        <v>0</v>
      </c>
      <c r="J52" s="353"/>
      <c r="K52" s="39">
        <v>0</v>
      </c>
      <c r="L52" s="39">
        <v>0</v>
      </c>
      <c r="M52" s="215">
        <v>0</v>
      </c>
      <c r="N52" s="39">
        <v>0</v>
      </c>
      <c r="O52" s="39"/>
      <c r="P52" s="39"/>
      <c r="Q52" s="218">
        <f t="shared" si="3"/>
        <v>100</v>
      </c>
      <c r="R52" s="83">
        <v>0</v>
      </c>
      <c r="S52" s="45"/>
      <c r="T52" s="45"/>
      <c r="U52" s="45"/>
      <c r="V52" s="45"/>
      <c r="W52" s="1"/>
      <c r="X52" s="218">
        <f t="shared" si="1"/>
        <v>100</v>
      </c>
    </row>
    <row r="53" spans="1:27" ht="15" customHeight="1">
      <c r="A53" s="13">
        <v>26</v>
      </c>
      <c r="B53" s="39">
        <v>50</v>
      </c>
      <c r="C53" s="44" t="s">
        <v>421</v>
      </c>
      <c r="D53" s="71" t="s">
        <v>398</v>
      </c>
      <c r="E53" s="44" t="s">
        <v>3</v>
      </c>
      <c r="F53" s="39">
        <v>0</v>
      </c>
      <c r="G53" s="39">
        <v>0</v>
      </c>
      <c r="H53" s="73">
        <v>80</v>
      </c>
      <c r="I53" s="215">
        <v>0</v>
      </c>
      <c r="J53" s="353"/>
      <c r="K53" s="39">
        <v>0</v>
      </c>
      <c r="L53" s="39">
        <v>0</v>
      </c>
      <c r="M53" s="215">
        <v>0</v>
      </c>
      <c r="N53" s="39">
        <v>0</v>
      </c>
      <c r="O53" s="39"/>
      <c r="P53" s="39"/>
      <c r="Q53" s="218">
        <f t="shared" si="3"/>
        <v>80</v>
      </c>
      <c r="R53" s="83">
        <v>0</v>
      </c>
      <c r="S53" s="45"/>
      <c r="T53" s="45"/>
      <c r="U53" s="45"/>
      <c r="V53" s="45"/>
      <c r="W53" s="1"/>
      <c r="X53" s="218">
        <f t="shared" si="1"/>
        <v>80</v>
      </c>
    </row>
    <row r="54" spans="1:27" ht="15" customHeight="1">
      <c r="A54" s="39">
        <v>27</v>
      </c>
      <c r="B54" s="39">
        <v>51</v>
      </c>
      <c r="C54" s="44" t="s">
        <v>422</v>
      </c>
      <c r="D54" s="71" t="s">
        <v>398</v>
      </c>
      <c r="E54" s="44" t="s">
        <v>3</v>
      </c>
      <c r="F54" s="39">
        <v>0</v>
      </c>
      <c r="G54" s="39">
        <v>0</v>
      </c>
      <c r="H54" s="73">
        <v>40</v>
      </c>
      <c r="I54" s="215">
        <v>0</v>
      </c>
      <c r="J54" s="353"/>
      <c r="K54" s="39">
        <v>0</v>
      </c>
      <c r="L54" s="39">
        <v>0</v>
      </c>
      <c r="M54" s="215">
        <v>0</v>
      </c>
      <c r="N54" s="39">
        <v>0</v>
      </c>
      <c r="O54" s="39"/>
      <c r="P54" s="39"/>
      <c r="Q54" s="218">
        <f t="shared" si="3"/>
        <v>40</v>
      </c>
      <c r="R54" s="83">
        <v>0</v>
      </c>
      <c r="S54" s="45"/>
      <c r="T54" s="45"/>
      <c r="U54" s="45"/>
      <c r="V54" s="45"/>
      <c r="W54" s="1"/>
      <c r="X54" s="218">
        <f t="shared" si="1"/>
        <v>40</v>
      </c>
    </row>
    <row r="55" spans="1:27" ht="15" customHeight="1">
      <c r="A55" s="13">
        <v>28</v>
      </c>
      <c r="B55" s="39">
        <v>52</v>
      </c>
      <c r="C55" s="44" t="s">
        <v>423</v>
      </c>
      <c r="D55" s="71" t="s">
        <v>399</v>
      </c>
      <c r="E55" s="44" t="s">
        <v>3</v>
      </c>
      <c r="F55" s="39">
        <v>0</v>
      </c>
      <c r="G55" s="39">
        <v>0</v>
      </c>
      <c r="H55" s="73">
        <v>60</v>
      </c>
      <c r="I55" s="215">
        <v>0</v>
      </c>
      <c r="J55" s="353"/>
      <c r="K55" s="39">
        <v>0</v>
      </c>
      <c r="L55" s="39">
        <v>0</v>
      </c>
      <c r="M55" s="215">
        <v>0</v>
      </c>
      <c r="N55" s="39">
        <v>0</v>
      </c>
      <c r="O55" s="39"/>
      <c r="P55" s="39"/>
      <c r="Q55" s="218">
        <f t="shared" si="3"/>
        <v>60</v>
      </c>
      <c r="R55" s="83">
        <v>0</v>
      </c>
      <c r="S55" s="45"/>
      <c r="T55" s="45"/>
      <c r="U55" s="45"/>
      <c r="V55" s="45"/>
      <c r="W55" s="1"/>
      <c r="X55" s="218">
        <f t="shared" si="1"/>
        <v>60</v>
      </c>
    </row>
    <row r="56" spans="1:27" ht="15" customHeight="1">
      <c r="A56" s="39">
        <v>29</v>
      </c>
      <c r="B56" s="39">
        <v>53</v>
      </c>
      <c r="C56" s="44" t="s">
        <v>424</v>
      </c>
      <c r="D56" s="71" t="s">
        <v>399</v>
      </c>
      <c r="E56" s="44" t="s">
        <v>3</v>
      </c>
      <c r="F56" s="39">
        <v>0</v>
      </c>
      <c r="G56" s="39">
        <v>0</v>
      </c>
      <c r="H56" s="73">
        <v>120</v>
      </c>
      <c r="I56" s="215">
        <v>0</v>
      </c>
      <c r="J56" s="353"/>
      <c r="K56" s="39">
        <v>0</v>
      </c>
      <c r="L56" s="39">
        <v>0</v>
      </c>
      <c r="M56" s="215">
        <v>0</v>
      </c>
      <c r="N56" s="39">
        <v>0</v>
      </c>
      <c r="O56" s="39"/>
      <c r="P56" s="39"/>
      <c r="Q56" s="218">
        <f t="shared" si="3"/>
        <v>120</v>
      </c>
      <c r="R56" s="83">
        <v>0</v>
      </c>
      <c r="S56" s="45"/>
      <c r="T56" s="45"/>
      <c r="U56" s="45"/>
      <c r="V56" s="45"/>
      <c r="W56" s="1"/>
      <c r="X56" s="218">
        <f t="shared" si="1"/>
        <v>120</v>
      </c>
    </row>
    <row r="57" spans="1:27" ht="15" customHeight="1">
      <c r="A57" s="13">
        <v>30</v>
      </c>
      <c r="B57" s="39">
        <v>54</v>
      </c>
      <c r="C57" s="44" t="s">
        <v>425</v>
      </c>
      <c r="D57" s="71" t="s">
        <v>400</v>
      </c>
      <c r="E57" s="44" t="s">
        <v>3</v>
      </c>
      <c r="F57" s="39">
        <v>0</v>
      </c>
      <c r="G57" s="39">
        <v>0</v>
      </c>
      <c r="H57" s="73">
        <v>160</v>
      </c>
      <c r="I57" s="215">
        <v>0</v>
      </c>
      <c r="J57" s="353"/>
      <c r="K57" s="39">
        <v>0</v>
      </c>
      <c r="L57" s="39">
        <v>0</v>
      </c>
      <c r="M57" s="215">
        <v>0</v>
      </c>
      <c r="N57" s="39">
        <v>0</v>
      </c>
      <c r="O57" s="39"/>
      <c r="P57" s="39"/>
      <c r="Q57" s="218">
        <f t="shared" si="3"/>
        <v>160</v>
      </c>
      <c r="R57" s="83">
        <v>0</v>
      </c>
      <c r="S57" s="45"/>
      <c r="T57" s="45"/>
      <c r="U57" s="45"/>
      <c r="V57" s="45"/>
      <c r="W57" s="1"/>
      <c r="X57" s="218">
        <f t="shared" si="1"/>
        <v>160</v>
      </c>
    </row>
    <row r="58" spans="1:27" ht="15" customHeight="1">
      <c r="A58" s="39">
        <v>31</v>
      </c>
      <c r="B58" s="39">
        <v>55</v>
      </c>
      <c r="C58" s="44" t="s">
        <v>426</v>
      </c>
      <c r="D58" s="71" t="s">
        <v>396</v>
      </c>
      <c r="E58" s="44" t="s">
        <v>3</v>
      </c>
      <c r="F58" s="39">
        <v>0</v>
      </c>
      <c r="G58" s="39">
        <v>0</v>
      </c>
      <c r="H58" s="73">
        <v>80</v>
      </c>
      <c r="I58" s="215">
        <v>0</v>
      </c>
      <c r="J58" s="353"/>
      <c r="K58" s="39">
        <v>0</v>
      </c>
      <c r="L58" s="39">
        <v>0</v>
      </c>
      <c r="M58" s="215">
        <v>0</v>
      </c>
      <c r="N58" s="39">
        <v>0</v>
      </c>
      <c r="O58" s="39"/>
      <c r="P58" s="39"/>
      <c r="Q58" s="218">
        <f t="shared" si="3"/>
        <v>80</v>
      </c>
      <c r="R58" s="83">
        <v>0</v>
      </c>
      <c r="S58" s="45"/>
      <c r="T58" s="45"/>
      <c r="U58" s="45"/>
      <c r="V58" s="45"/>
      <c r="W58" s="1"/>
      <c r="X58" s="218">
        <f t="shared" si="1"/>
        <v>80</v>
      </c>
    </row>
    <row r="59" spans="1:27" ht="15" customHeight="1">
      <c r="A59" s="13">
        <v>32</v>
      </c>
      <c r="B59" s="39">
        <v>56</v>
      </c>
      <c r="C59" s="44" t="s">
        <v>427</v>
      </c>
      <c r="D59" s="71" t="s">
        <v>396</v>
      </c>
      <c r="E59" s="44" t="s">
        <v>3</v>
      </c>
      <c r="F59" s="39">
        <v>0</v>
      </c>
      <c r="G59" s="39">
        <v>0</v>
      </c>
      <c r="H59" s="73">
        <v>70</v>
      </c>
      <c r="I59" s="215">
        <v>0</v>
      </c>
      <c r="J59" s="353"/>
      <c r="K59" s="39">
        <v>0</v>
      </c>
      <c r="L59" s="39">
        <v>0</v>
      </c>
      <c r="M59" s="215">
        <v>0</v>
      </c>
      <c r="N59" s="39">
        <v>0</v>
      </c>
      <c r="O59" s="39"/>
      <c r="P59" s="39"/>
      <c r="Q59" s="218">
        <f t="shared" si="3"/>
        <v>70</v>
      </c>
      <c r="R59" s="83">
        <v>0</v>
      </c>
      <c r="S59" s="45"/>
      <c r="T59" s="45"/>
      <c r="U59" s="45"/>
      <c r="V59" s="45"/>
      <c r="W59" s="1"/>
      <c r="X59" s="218">
        <f t="shared" si="1"/>
        <v>70</v>
      </c>
    </row>
    <row r="60" spans="1:27" ht="15" customHeight="1">
      <c r="A60" s="39">
        <v>33</v>
      </c>
      <c r="B60" s="39">
        <v>57</v>
      </c>
      <c r="C60" s="44" t="s">
        <v>428</v>
      </c>
      <c r="D60" s="71" t="s">
        <v>397</v>
      </c>
      <c r="E60" s="44" t="s">
        <v>3</v>
      </c>
      <c r="F60" s="39">
        <v>0</v>
      </c>
      <c r="G60" s="39">
        <v>0</v>
      </c>
      <c r="H60" s="73">
        <v>80</v>
      </c>
      <c r="I60" s="215">
        <v>0</v>
      </c>
      <c r="J60" s="353"/>
      <c r="K60" s="39">
        <v>0</v>
      </c>
      <c r="L60" s="39">
        <v>0</v>
      </c>
      <c r="M60" s="215">
        <v>0</v>
      </c>
      <c r="N60" s="39">
        <v>0</v>
      </c>
      <c r="O60" s="39"/>
      <c r="P60" s="39"/>
      <c r="Q60" s="218">
        <f t="shared" si="3"/>
        <v>80</v>
      </c>
      <c r="R60" s="83">
        <v>0</v>
      </c>
      <c r="S60" s="45"/>
      <c r="T60" s="45"/>
      <c r="U60" s="45"/>
      <c r="V60" s="45"/>
      <c r="W60" s="1"/>
      <c r="X60" s="218">
        <f t="shared" si="1"/>
        <v>80</v>
      </c>
    </row>
    <row r="61" spans="1:27" ht="15" customHeight="1">
      <c r="A61" s="13">
        <v>34</v>
      </c>
      <c r="B61" s="39">
        <v>58</v>
      </c>
      <c r="C61" s="44" t="s">
        <v>429</v>
      </c>
      <c r="D61" s="71" t="s">
        <v>395</v>
      </c>
      <c r="E61" s="44" t="s">
        <v>3</v>
      </c>
      <c r="F61" s="39">
        <v>0</v>
      </c>
      <c r="G61" s="39">
        <v>0</v>
      </c>
      <c r="H61" s="73">
        <v>220</v>
      </c>
      <c r="I61" s="215">
        <v>0</v>
      </c>
      <c r="J61" s="353"/>
      <c r="K61" s="39">
        <v>0</v>
      </c>
      <c r="L61" s="39">
        <v>0</v>
      </c>
      <c r="M61" s="215">
        <v>0</v>
      </c>
      <c r="N61" s="39">
        <v>0</v>
      </c>
      <c r="O61" s="39"/>
      <c r="P61" s="39"/>
      <c r="Q61" s="218">
        <f t="shared" si="3"/>
        <v>220</v>
      </c>
      <c r="R61" s="83">
        <v>0</v>
      </c>
      <c r="S61" s="45"/>
      <c r="T61" s="45"/>
      <c r="U61" s="45"/>
      <c r="V61" s="45"/>
      <c r="W61" s="1"/>
      <c r="X61" s="218">
        <f t="shared" si="1"/>
        <v>220</v>
      </c>
      <c r="AA61" s="49"/>
    </row>
    <row r="62" spans="1:27" ht="15" customHeight="1">
      <c r="A62" s="39">
        <v>35</v>
      </c>
      <c r="B62" s="39">
        <v>59</v>
      </c>
      <c r="C62" s="44" t="s">
        <v>430</v>
      </c>
      <c r="D62" s="71" t="s">
        <v>395</v>
      </c>
      <c r="E62" s="44" t="s">
        <v>3</v>
      </c>
      <c r="F62" s="39">
        <v>0</v>
      </c>
      <c r="G62" s="39">
        <v>0</v>
      </c>
      <c r="H62" s="73">
        <v>220</v>
      </c>
      <c r="I62" s="215">
        <v>0</v>
      </c>
      <c r="J62" s="353"/>
      <c r="K62" s="39">
        <v>0</v>
      </c>
      <c r="L62" s="39">
        <v>0</v>
      </c>
      <c r="M62" s="215">
        <v>0</v>
      </c>
      <c r="N62" s="39">
        <v>0</v>
      </c>
      <c r="O62" s="39"/>
      <c r="P62" s="39"/>
      <c r="Q62" s="218">
        <v>220</v>
      </c>
      <c r="R62" s="83">
        <v>0</v>
      </c>
      <c r="S62" s="45"/>
      <c r="T62" s="45"/>
      <c r="U62" s="45"/>
      <c r="V62" s="45"/>
      <c r="W62" s="1"/>
      <c r="X62" s="218">
        <f t="shared" si="1"/>
        <v>220</v>
      </c>
    </row>
    <row r="63" spans="1:27" ht="15" customHeight="1">
      <c r="A63" s="13">
        <v>36</v>
      </c>
      <c r="B63" s="39">
        <v>60</v>
      </c>
      <c r="C63" s="44" t="s">
        <v>598</v>
      </c>
      <c r="D63" s="71" t="s">
        <v>394</v>
      </c>
      <c r="E63" s="44" t="s">
        <v>3</v>
      </c>
      <c r="F63" s="39">
        <v>0</v>
      </c>
      <c r="G63" s="39">
        <v>0</v>
      </c>
      <c r="H63" s="73">
        <v>280</v>
      </c>
      <c r="I63" s="215">
        <v>0</v>
      </c>
      <c r="J63" s="353"/>
      <c r="K63" s="39">
        <v>0</v>
      </c>
      <c r="L63" s="39">
        <v>0</v>
      </c>
      <c r="M63" s="215">
        <v>0</v>
      </c>
      <c r="N63" s="39">
        <v>0</v>
      </c>
      <c r="O63" s="39"/>
      <c r="P63" s="39"/>
      <c r="Q63" s="218">
        <f t="shared" ref="Q63:Q68" si="4">F63+G63+H63+I63-N63</f>
        <v>280</v>
      </c>
      <c r="R63" s="83">
        <v>0</v>
      </c>
      <c r="S63" s="45"/>
      <c r="T63" s="45"/>
      <c r="U63" s="45"/>
      <c r="V63" s="45"/>
      <c r="W63" s="1"/>
      <c r="X63" s="218">
        <f t="shared" si="1"/>
        <v>280</v>
      </c>
    </row>
    <row r="64" spans="1:27" ht="15" customHeight="1">
      <c r="A64" s="39">
        <v>37</v>
      </c>
      <c r="B64" s="39">
        <v>61</v>
      </c>
      <c r="C64" s="44" t="s">
        <v>431</v>
      </c>
      <c r="D64" s="71" t="s">
        <v>600</v>
      </c>
      <c r="E64" s="44" t="s">
        <v>3</v>
      </c>
      <c r="F64" s="39">
        <v>0</v>
      </c>
      <c r="G64" s="39">
        <v>0</v>
      </c>
      <c r="H64" s="73">
        <v>10</v>
      </c>
      <c r="I64" s="215">
        <v>0</v>
      </c>
      <c r="J64" s="353"/>
      <c r="K64" s="39">
        <v>0</v>
      </c>
      <c r="L64" s="39">
        <v>0</v>
      </c>
      <c r="M64" s="215">
        <v>0</v>
      </c>
      <c r="N64" s="39">
        <v>0</v>
      </c>
      <c r="O64" s="39"/>
      <c r="P64" s="39"/>
      <c r="Q64" s="218">
        <f t="shared" si="4"/>
        <v>10</v>
      </c>
      <c r="R64" s="83">
        <v>0</v>
      </c>
      <c r="S64" s="45"/>
      <c r="T64" s="45"/>
      <c r="U64" s="45"/>
      <c r="V64" s="45"/>
      <c r="W64" s="1"/>
      <c r="X64" s="218">
        <f t="shared" si="1"/>
        <v>10</v>
      </c>
    </row>
    <row r="65" spans="1:24" ht="15" customHeight="1">
      <c r="A65" s="170">
        <v>38</v>
      </c>
      <c r="B65" s="39">
        <v>62</v>
      </c>
      <c r="C65" s="167" t="s">
        <v>432</v>
      </c>
      <c r="D65" s="168" t="s">
        <v>599</v>
      </c>
      <c r="E65" s="167" t="s">
        <v>3</v>
      </c>
      <c r="F65" s="167">
        <v>0</v>
      </c>
      <c r="G65" s="167">
        <v>0</v>
      </c>
      <c r="H65" s="169">
        <v>20</v>
      </c>
      <c r="I65" s="231">
        <v>0</v>
      </c>
      <c r="J65" s="353"/>
      <c r="K65" s="167">
        <v>0</v>
      </c>
      <c r="L65" s="167">
        <v>0</v>
      </c>
      <c r="M65" s="231">
        <v>0</v>
      </c>
      <c r="N65" s="167">
        <v>0</v>
      </c>
      <c r="O65" s="167"/>
      <c r="P65" s="167"/>
      <c r="Q65" s="218">
        <f t="shared" si="4"/>
        <v>20</v>
      </c>
      <c r="R65" s="83">
        <v>0</v>
      </c>
      <c r="S65" s="171"/>
      <c r="T65" s="171"/>
      <c r="U65" s="171"/>
      <c r="V65" s="171"/>
      <c r="W65" s="172" t="s">
        <v>596</v>
      </c>
      <c r="X65" s="218">
        <f t="shared" si="1"/>
        <v>20</v>
      </c>
    </row>
    <row r="66" spans="1:24" ht="15" customHeight="1">
      <c r="A66" s="39">
        <v>39</v>
      </c>
      <c r="B66" s="39">
        <v>63</v>
      </c>
      <c r="C66" s="44" t="s">
        <v>433</v>
      </c>
      <c r="D66" s="71" t="s">
        <v>399</v>
      </c>
      <c r="E66" s="44" t="s">
        <v>3</v>
      </c>
      <c r="F66" s="39">
        <v>0</v>
      </c>
      <c r="G66" s="39">
        <v>0</v>
      </c>
      <c r="H66" s="73">
        <v>190</v>
      </c>
      <c r="I66" s="215">
        <v>0</v>
      </c>
      <c r="J66" s="353"/>
      <c r="K66" s="39">
        <v>0</v>
      </c>
      <c r="L66" s="39">
        <v>0</v>
      </c>
      <c r="M66" s="157">
        <v>0</v>
      </c>
      <c r="N66" s="39">
        <v>0</v>
      </c>
      <c r="O66" s="39"/>
      <c r="P66" s="39"/>
      <c r="Q66" s="218">
        <f t="shared" si="4"/>
        <v>190</v>
      </c>
      <c r="R66" s="83">
        <v>0</v>
      </c>
      <c r="S66" s="45"/>
      <c r="T66" s="45"/>
      <c r="U66" s="45"/>
      <c r="V66" s="45"/>
      <c r="W66" s="1"/>
      <c r="X66" s="218">
        <f t="shared" si="1"/>
        <v>190</v>
      </c>
    </row>
    <row r="67" spans="1:24" ht="15" customHeight="1">
      <c r="A67" s="13">
        <v>40</v>
      </c>
      <c r="B67" s="39">
        <v>64</v>
      </c>
      <c r="C67" s="44" t="s">
        <v>434</v>
      </c>
      <c r="D67" s="71" t="s">
        <v>401</v>
      </c>
      <c r="E67" s="44" t="s">
        <v>3</v>
      </c>
      <c r="F67" s="39">
        <v>0</v>
      </c>
      <c r="G67" s="39">
        <v>0</v>
      </c>
      <c r="H67" s="73">
        <v>220</v>
      </c>
      <c r="I67" s="215">
        <v>0</v>
      </c>
      <c r="J67" s="353"/>
      <c r="K67" s="39">
        <v>0</v>
      </c>
      <c r="L67" s="39">
        <v>0</v>
      </c>
      <c r="M67" s="157">
        <v>0</v>
      </c>
      <c r="N67" s="39">
        <v>0</v>
      </c>
      <c r="O67" s="39"/>
      <c r="P67" s="39"/>
      <c r="Q67" s="218">
        <f t="shared" si="4"/>
        <v>220</v>
      </c>
      <c r="R67" s="83">
        <v>0</v>
      </c>
      <c r="S67" s="45"/>
      <c r="T67" s="45"/>
      <c r="U67" s="45"/>
      <c r="V67" s="45"/>
      <c r="W67" s="1"/>
      <c r="X67" s="218">
        <f t="shared" si="1"/>
        <v>220</v>
      </c>
    </row>
    <row r="68" spans="1:24" ht="15" customHeight="1">
      <c r="A68" s="13">
        <v>1</v>
      </c>
      <c r="B68" s="39">
        <v>66</v>
      </c>
      <c r="C68" s="44" t="s">
        <v>419</v>
      </c>
      <c r="D68" s="72" t="s">
        <v>436</v>
      </c>
      <c r="E68" s="44" t="s">
        <v>3</v>
      </c>
      <c r="F68" s="39">
        <v>0</v>
      </c>
      <c r="G68" s="39">
        <v>0</v>
      </c>
      <c r="H68" s="39">
        <v>0</v>
      </c>
      <c r="I68" s="215">
        <v>13</v>
      </c>
      <c r="J68" s="354"/>
      <c r="K68" s="39">
        <v>0</v>
      </c>
      <c r="L68" s="39">
        <v>0</v>
      </c>
      <c r="M68" s="157">
        <v>0</v>
      </c>
      <c r="N68" s="39">
        <v>0</v>
      </c>
      <c r="O68" s="39"/>
      <c r="P68" s="39"/>
      <c r="Q68" s="218">
        <f t="shared" si="4"/>
        <v>13</v>
      </c>
      <c r="R68" s="83">
        <v>0</v>
      </c>
      <c r="S68" s="13"/>
      <c r="T68" s="13"/>
      <c r="U68" s="13"/>
      <c r="V68" s="13"/>
      <c r="W68" s="1"/>
      <c r="X68" s="218">
        <f t="shared" si="1"/>
        <v>13</v>
      </c>
    </row>
    <row r="69" spans="1:24">
      <c r="A69" s="1"/>
      <c r="B69" s="39">
        <v>67.3333333333333</v>
      </c>
      <c r="C69" s="320" t="s">
        <v>775</v>
      </c>
      <c r="D69" s="71" t="s">
        <v>776</v>
      </c>
      <c r="E69" s="44" t="s">
        <v>3</v>
      </c>
      <c r="F69" s="1"/>
      <c r="G69" s="1"/>
      <c r="H69" s="1"/>
      <c r="I69" s="1"/>
      <c r="J69" s="1"/>
      <c r="K69" s="1"/>
      <c r="L69" s="1"/>
      <c r="N69" s="1"/>
      <c r="O69" s="1"/>
      <c r="P69" s="1"/>
      <c r="Q69" s="242"/>
      <c r="R69" s="1"/>
      <c r="S69" s="1"/>
      <c r="T69" s="1"/>
      <c r="U69" s="1"/>
      <c r="V69" s="1"/>
      <c r="W69" s="1"/>
      <c r="X69" s="100">
        <v>4</v>
      </c>
    </row>
    <row r="70" spans="1:24">
      <c r="A70" s="1"/>
      <c r="B70" s="39">
        <v>68.8333333333333</v>
      </c>
      <c r="C70" s="313"/>
      <c r="D70" s="71" t="s">
        <v>777</v>
      </c>
      <c r="E70" s="44" t="s">
        <v>3</v>
      </c>
      <c r="F70" s="1"/>
      <c r="G70" s="1"/>
      <c r="H70" s="1"/>
      <c r="I70" s="1"/>
      <c r="J70" s="1"/>
      <c r="K70" s="1"/>
      <c r="L70" s="1"/>
      <c r="N70" s="1"/>
      <c r="O70" s="1"/>
      <c r="P70" s="1"/>
      <c r="Q70" s="242"/>
      <c r="R70" s="1"/>
      <c r="S70" s="1"/>
      <c r="T70" s="1"/>
      <c r="U70" s="1"/>
      <c r="V70" s="1"/>
      <c r="W70" s="1"/>
      <c r="X70" s="100" t="s">
        <v>783</v>
      </c>
    </row>
    <row r="71" spans="1:24">
      <c r="A71" s="1"/>
      <c r="B71" s="39">
        <v>70.3333333333333</v>
      </c>
      <c r="C71" s="313"/>
      <c r="D71" s="71" t="s">
        <v>778</v>
      </c>
      <c r="E71" s="44" t="s">
        <v>3</v>
      </c>
      <c r="F71" s="1"/>
      <c r="G71" s="1"/>
      <c r="H71" s="1"/>
      <c r="I71" s="1"/>
      <c r="J71" s="1"/>
      <c r="K71" s="1"/>
      <c r="L71" s="1"/>
      <c r="N71" s="1"/>
      <c r="O71" s="1"/>
      <c r="P71" s="1"/>
      <c r="Q71" s="242"/>
      <c r="R71" s="1"/>
      <c r="S71" s="1"/>
      <c r="T71" s="1"/>
      <c r="U71" s="1"/>
      <c r="V71" s="1"/>
      <c r="W71" s="1"/>
      <c r="X71" s="100">
        <v>4</v>
      </c>
    </row>
    <row r="72" spans="1:24">
      <c r="A72" s="1"/>
      <c r="B72" s="39">
        <v>71.8333333333333</v>
      </c>
      <c r="C72" s="313"/>
      <c r="D72" s="71" t="s">
        <v>779</v>
      </c>
      <c r="E72" s="44" t="s">
        <v>3</v>
      </c>
      <c r="F72" s="1"/>
      <c r="G72" s="1"/>
      <c r="H72" s="1"/>
      <c r="I72" s="1"/>
      <c r="J72" s="1"/>
      <c r="K72" s="1"/>
      <c r="L72" s="1"/>
      <c r="N72" s="1"/>
      <c r="O72" s="1"/>
      <c r="P72" s="1"/>
      <c r="Q72" s="242"/>
      <c r="R72" s="1"/>
      <c r="S72" s="1"/>
      <c r="T72" s="1"/>
      <c r="U72" s="1"/>
      <c r="V72" s="1"/>
      <c r="W72" s="1"/>
      <c r="X72" s="100" t="s">
        <v>784</v>
      </c>
    </row>
    <row r="73" spans="1:24">
      <c r="A73" s="1"/>
      <c r="B73" s="39">
        <v>73.3333333333333</v>
      </c>
      <c r="C73" s="313"/>
      <c r="D73" s="71" t="s">
        <v>780</v>
      </c>
      <c r="E73" s="44" t="s">
        <v>3</v>
      </c>
      <c r="F73" s="1"/>
      <c r="G73" s="1"/>
      <c r="H73" s="1"/>
      <c r="I73" s="1"/>
      <c r="J73" s="1"/>
      <c r="K73" s="1"/>
      <c r="L73" s="1"/>
      <c r="N73" s="1"/>
      <c r="O73" s="1"/>
      <c r="P73" s="1"/>
      <c r="Q73" s="242"/>
      <c r="R73" s="1"/>
      <c r="S73" s="1"/>
      <c r="T73" s="1"/>
      <c r="U73" s="1"/>
      <c r="V73" s="1"/>
      <c r="W73" s="1"/>
      <c r="X73" s="100">
        <v>2</v>
      </c>
    </row>
    <row r="74" spans="1:24">
      <c r="A74" s="1"/>
      <c r="B74" s="39">
        <v>74.8333333333333</v>
      </c>
      <c r="C74" s="313"/>
      <c r="D74" s="71" t="s">
        <v>781</v>
      </c>
      <c r="E74" s="44" t="s">
        <v>3</v>
      </c>
      <c r="F74" s="1"/>
      <c r="G74" s="1"/>
      <c r="H74" s="1"/>
      <c r="I74" s="1"/>
      <c r="J74" s="1"/>
      <c r="K74" s="1"/>
      <c r="L74" s="1"/>
      <c r="N74" s="1"/>
      <c r="O74" s="1"/>
      <c r="P74" s="1"/>
      <c r="Q74" s="242"/>
      <c r="R74" s="1"/>
      <c r="S74" s="1"/>
      <c r="T74" s="1"/>
      <c r="U74" s="1"/>
      <c r="V74" s="1"/>
      <c r="W74" s="1"/>
      <c r="X74" s="100">
        <v>4</v>
      </c>
    </row>
    <row r="75" spans="1:24">
      <c r="A75" s="1"/>
      <c r="B75" s="39">
        <v>76.3333333333333</v>
      </c>
      <c r="C75" s="314"/>
      <c r="D75" s="71" t="s">
        <v>782</v>
      </c>
      <c r="E75" s="44" t="s">
        <v>3</v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1"/>
      <c r="Q75" s="242"/>
      <c r="R75" s="1"/>
      <c r="S75" s="1"/>
      <c r="T75" s="1"/>
      <c r="U75" s="1"/>
      <c r="V75" s="1"/>
      <c r="W75" s="1"/>
      <c r="X75" s="100" t="s">
        <v>785</v>
      </c>
    </row>
    <row r="76" spans="1:24">
      <c r="B76" s="24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24">
      <c r="B77" s="24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24">
      <c r="B78" s="24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24">
      <c r="B79" s="24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24">
      <c r="B80" s="24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2:15">
      <c r="B81" s="24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2:15">
      <c r="B82" s="24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2:15">
      <c r="B83" s="24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2:15"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2:15"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2:15"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2:15"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2:15"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2:15"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2:15"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2:15"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2:15"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2:15"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2:15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2:15"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2:15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5:15"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5:15"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5:15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5:15"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5:15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5:15"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5:15"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5:15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5:15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5:15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5:15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5:15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5:15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5:15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5:15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5:15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5:15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5:15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5:15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5:15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5:15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5:15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5:1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5:1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5:15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5:15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5:15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5:15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5:15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5:1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5:15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5:15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5:15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5:15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5:15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5:15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5:1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5:15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5:15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5:15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5:15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5:15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5:15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5:15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5:15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5:15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5:15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5:15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5:15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5:15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5:15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5:15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5:15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5:15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5:15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5:15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5:15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5:15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5:15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5:15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5:15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5:15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5:15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5:15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5:15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5:15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5:15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5:15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5:15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5:15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5:15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5:15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5:15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5:15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5:15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5:15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5:15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5:15"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5:15"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5:15"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5:15"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5:15"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5:15"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5:15"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5:15"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5:15"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5:15"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5:15"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5:15"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5:15"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5:15"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5:15"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5:15"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5:15"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5:15"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5:15"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5:15"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5:15"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5:15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5:15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5:15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5:1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5:15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5:15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5:15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5:15"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5:15"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5:15"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5:15"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5:15"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5:15"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5:15"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5:15"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5:15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5:15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5:15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5:15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5:15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5:15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5:15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5:15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5:15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5:15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5:15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5:15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5:15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5:15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5:15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5:15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5:15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5:15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5:15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</sheetData>
  <autoFilter ref="A1:U68" xr:uid="{00000000-0009-0000-0000-000007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dataConsolidate/>
  <mergeCells count="20">
    <mergeCell ref="O2:O3"/>
    <mergeCell ref="P2:P3"/>
    <mergeCell ref="A2:A3"/>
    <mergeCell ref="F2:I2"/>
    <mergeCell ref="X2:X3"/>
    <mergeCell ref="C69:C75"/>
    <mergeCell ref="A1:W1"/>
    <mergeCell ref="S2:S3"/>
    <mergeCell ref="T2:T3"/>
    <mergeCell ref="W2:W3"/>
    <mergeCell ref="Q2:Q3"/>
    <mergeCell ref="R2:R3"/>
    <mergeCell ref="B2:B3"/>
    <mergeCell ref="C2:C3"/>
    <mergeCell ref="D2:D3"/>
    <mergeCell ref="E2:E3"/>
    <mergeCell ref="N2:N3"/>
    <mergeCell ref="J2:J68"/>
    <mergeCell ref="K2:M2"/>
    <mergeCell ref="V2:V3"/>
  </mergeCells>
  <phoneticPr fontId="23" type="noConversion"/>
  <pageMargins left="0.7" right="0.7" top="0.75" bottom="0.75" header="0.3" footer="0.3"/>
  <pageSetup paperSize="9" fitToWidth="0" orientation="portrait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"/>
  <sheetViews>
    <sheetView workbookViewId="0">
      <pane ySplit="3" topLeftCell="A4" activePane="bottomLeft" state="frozen"/>
      <selection pane="bottomLeft" activeCell="F4" sqref="F4:F10"/>
    </sheetView>
  </sheetViews>
  <sheetFormatPr defaultRowHeight="15.75"/>
  <cols>
    <col min="1" max="1" width="9.140625" style="93"/>
    <col min="2" max="2" width="7.7109375" style="93" bestFit="1" customWidth="1"/>
    <col min="3" max="3" width="15.140625" style="93" bestFit="1" customWidth="1"/>
    <col min="4" max="4" width="35" style="93" customWidth="1"/>
    <col min="5" max="5" width="7.85546875" style="93" customWidth="1"/>
    <col min="6" max="6" width="13.28515625" style="93" customWidth="1"/>
    <col min="7" max="7" width="9.5703125" style="93" hidden="1" customWidth="1"/>
    <col min="8" max="8" width="14.28515625" hidden="1" customWidth="1"/>
    <col min="9" max="9" width="12.42578125" hidden="1" customWidth="1"/>
    <col min="10" max="10" width="12.85546875" customWidth="1"/>
    <col min="11" max="11" width="10.140625" style="49" hidden="1" customWidth="1"/>
    <col min="12" max="12" width="15.5703125" hidden="1" customWidth="1"/>
    <col min="13" max="13" width="14.42578125" hidden="1" customWidth="1"/>
    <col min="14" max="14" width="14.85546875" hidden="1" customWidth="1"/>
    <col min="15" max="15" width="12.7109375" hidden="1" customWidth="1"/>
    <col min="16" max="16" width="7.42578125" hidden="1" customWidth="1"/>
    <col min="17" max="17" width="17.5703125" style="93" hidden="1" customWidth="1"/>
    <col min="18" max="18" width="13.140625" style="93" customWidth="1"/>
    <col min="19" max="16384" width="9.140625" style="93"/>
  </cols>
  <sheetData>
    <row r="1" spans="1:18" ht="30.75" customHeight="1">
      <c r="A1" s="363" t="s">
        <v>688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4"/>
    </row>
    <row r="2" spans="1:18" s="146" customFormat="1" ht="34.5" customHeight="1">
      <c r="A2" s="322" t="s">
        <v>558</v>
      </c>
      <c r="B2" s="323" t="s">
        <v>0</v>
      </c>
      <c r="C2" s="323" t="s">
        <v>20</v>
      </c>
      <c r="D2" s="323" t="s">
        <v>1</v>
      </c>
      <c r="E2" s="323" t="s">
        <v>2</v>
      </c>
      <c r="F2" s="183" t="s">
        <v>551</v>
      </c>
      <c r="G2" s="323" t="s">
        <v>440</v>
      </c>
      <c r="H2" s="323" t="s">
        <v>522</v>
      </c>
      <c r="I2" s="323" t="s">
        <v>523</v>
      </c>
      <c r="J2" s="324" t="s">
        <v>689</v>
      </c>
      <c r="K2" s="324" t="s">
        <v>445</v>
      </c>
      <c r="L2" s="333" t="s">
        <v>545</v>
      </c>
      <c r="M2" s="333" t="s">
        <v>526</v>
      </c>
      <c r="N2" s="336" t="s">
        <v>518</v>
      </c>
      <c r="O2" s="182" t="s">
        <v>524</v>
      </c>
      <c r="P2" s="336" t="s">
        <v>603</v>
      </c>
      <c r="Q2" s="338" t="s">
        <v>170</v>
      </c>
      <c r="R2" s="294" t="s">
        <v>764</v>
      </c>
    </row>
    <row r="3" spans="1:18" s="147" customFormat="1" ht="28.5" customHeight="1">
      <c r="A3" s="322"/>
      <c r="B3" s="323"/>
      <c r="C3" s="323"/>
      <c r="D3" s="323"/>
      <c r="E3" s="323"/>
      <c r="F3" s="184" t="s">
        <v>552</v>
      </c>
      <c r="G3" s="323"/>
      <c r="H3" s="323"/>
      <c r="I3" s="323"/>
      <c r="J3" s="324"/>
      <c r="K3" s="324"/>
      <c r="L3" s="333"/>
      <c r="M3" s="333"/>
      <c r="N3" s="362"/>
      <c r="O3" s="182" t="s">
        <v>602</v>
      </c>
      <c r="P3" s="362"/>
      <c r="Q3" s="338"/>
      <c r="R3" s="294"/>
    </row>
    <row r="4" spans="1:18">
      <c r="A4" s="124"/>
      <c r="B4" s="39">
        <v>1</v>
      </c>
      <c r="C4" s="39" t="s">
        <v>172</v>
      </c>
      <c r="D4" s="95" t="s">
        <v>173</v>
      </c>
      <c r="E4" s="39" t="s">
        <v>4</v>
      </c>
      <c r="F4" s="43">
        <v>1</v>
      </c>
      <c r="G4" s="43">
        <v>0</v>
      </c>
      <c r="H4" s="96"/>
      <c r="I4" s="96"/>
      <c r="J4" s="97">
        <f>F4-G4</f>
        <v>1</v>
      </c>
      <c r="K4" s="151">
        <v>0</v>
      </c>
      <c r="L4" s="96"/>
      <c r="M4" s="96"/>
      <c r="N4" s="96"/>
      <c r="O4" s="94"/>
      <c r="P4" s="94"/>
      <c r="Q4" s="46"/>
      <c r="R4" s="97">
        <v>1</v>
      </c>
    </row>
    <row r="5" spans="1:18">
      <c r="A5" s="124"/>
      <c r="B5" s="39">
        <v>2</v>
      </c>
      <c r="C5" s="39" t="s">
        <v>174</v>
      </c>
      <c r="D5" s="95" t="s">
        <v>178</v>
      </c>
      <c r="E5" s="39" t="s">
        <v>3</v>
      </c>
      <c r="F5" s="43">
        <v>2</v>
      </c>
      <c r="G5" s="43">
        <v>0</v>
      </c>
      <c r="H5" s="39"/>
      <c r="I5" s="39"/>
      <c r="J5" s="97">
        <f t="shared" ref="J5:J10" si="0">F5-G5</f>
        <v>2</v>
      </c>
      <c r="K5" s="151">
        <v>0</v>
      </c>
      <c r="L5" s="35"/>
      <c r="M5" s="35"/>
      <c r="N5" s="35"/>
      <c r="O5" s="35"/>
      <c r="P5" s="35"/>
      <c r="Q5" s="46"/>
      <c r="R5" s="97">
        <v>2</v>
      </c>
    </row>
    <row r="6" spans="1:18">
      <c r="A6" s="124"/>
      <c r="B6" s="39">
        <v>3</v>
      </c>
      <c r="C6" s="39" t="s">
        <v>175</v>
      </c>
      <c r="D6" s="95" t="s">
        <v>179</v>
      </c>
      <c r="E6" s="39" t="s">
        <v>3</v>
      </c>
      <c r="F6" s="43">
        <v>1</v>
      </c>
      <c r="G6" s="43">
        <v>0</v>
      </c>
      <c r="H6" s="39"/>
      <c r="I6" s="39"/>
      <c r="J6" s="97">
        <f t="shared" si="0"/>
        <v>1</v>
      </c>
      <c r="K6" s="151">
        <v>0</v>
      </c>
      <c r="L6" s="35"/>
      <c r="M6" s="35"/>
      <c r="N6" s="35"/>
      <c r="O6" s="35"/>
      <c r="P6" s="35"/>
      <c r="Q6" s="46"/>
      <c r="R6" s="97">
        <v>1</v>
      </c>
    </row>
    <row r="7" spans="1:18">
      <c r="A7" s="124"/>
      <c r="B7" s="39">
        <v>4</v>
      </c>
      <c r="C7" s="39" t="s">
        <v>176</v>
      </c>
      <c r="D7" s="95" t="s">
        <v>180</v>
      </c>
      <c r="E7" s="39" t="s">
        <v>3</v>
      </c>
      <c r="F7" s="43">
        <v>1</v>
      </c>
      <c r="G7" s="43">
        <v>0</v>
      </c>
      <c r="H7" s="39"/>
      <c r="I7" s="39"/>
      <c r="J7" s="97">
        <f t="shared" si="0"/>
        <v>1</v>
      </c>
      <c r="K7" s="151">
        <v>0</v>
      </c>
      <c r="L7" s="35"/>
      <c r="M7" s="35"/>
      <c r="N7" s="35"/>
      <c r="O7" s="35"/>
      <c r="P7" s="35"/>
      <c r="Q7" s="46"/>
      <c r="R7" s="97">
        <v>1</v>
      </c>
    </row>
    <row r="8" spans="1:18">
      <c r="A8" s="124"/>
      <c r="B8" s="39">
        <v>5</v>
      </c>
      <c r="C8" s="39" t="s">
        <v>177</v>
      </c>
      <c r="D8" s="95" t="s">
        <v>181</v>
      </c>
      <c r="E8" s="39" t="s">
        <v>3</v>
      </c>
      <c r="F8" s="43">
        <v>1</v>
      </c>
      <c r="G8" s="43">
        <v>0</v>
      </c>
      <c r="H8" s="39"/>
      <c r="I8" s="39"/>
      <c r="J8" s="97">
        <f t="shared" si="0"/>
        <v>1</v>
      </c>
      <c r="K8" s="151">
        <v>0</v>
      </c>
      <c r="L8" s="35"/>
      <c r="M8" s="35"/>
      <c r="N8" s="35"/>
      <c r="O8" s="35"/>
      <c r="P8" s="35"/>
      <c r="Q8" s="46"/>
      <c r="R8" s="97">
        <v>1</v>
      </c>
    </row>
    <row r="9" spans="1:18">
      <c r="A9" s="124"/>
      <c r="B9" s="39">
        <v>6</v>
      </c>
      <c r="C9" s="39" t="s">
        <v>182</v>
      </c>
      <c r="D9" s="95" t="s">
        <v>183</v>
      </c>
      <c r="E9" s="39" t="s">
        <v>3</v>
      </c>
      <c r="F9" s="43">
        <v>1</v>
      </c>
      <c r="G9" s="43">
        <v>0</v>
      </c>
      <c r="H9" s="39"/>
      <c r="I9" s="39"/>
      <c r="J9" s="97">
        <f t="shared" si="0"/>
        <v>1</v>
      </c>
      <c r="K9" s="151">
        <v>0</v>
      </c>
      <c r="L9" s="35"/>
      <c r="M9" s="35"/>
      <c r="N9" s="35"/>
      <c r="O9" s="35"/>
      <c r="P9" s="35"/>
      <c r="Q9" s="46"/>
      <c r="R9" s="97">
        <v>1</v>
      </c>
    </row>
    <row r="10" spans="1:18">
      <c r="A10" s="124"/>
      <c r="B10" s="39">
        <v>7</v>
      </c>
      <c r="C10" s="39" t="s">
        <v>184</v>
      </c>
      <c r="D10" s="95" t="s">
        <v>185</v>
      </c>
      <c r="E10" s="39" t="s">
        <v>3</v>
      </c>
      <c r="F10" s="43">
        <v>1</v>
      </c>
      <c r="G10" s="43">
        <v>0</v>
      </c>
      <c r="H10" s="39"/>
      <c r="I10" s="39"/>
      <c r="J10" s="97">
        <f t="shared" si="0"/>
        <v>1</v>
      </c>
      <c r="K10" s="151">
        <v>0</v>
      </c>
      <c r="L10" s="35"/>
      <c r="M10" s="35"/>
      <c r="N10" s="35"/>
      <c r="O10" s="35"/>
      <c r="P10" s="35"/>
      <c r="Q10" s="46"/>
      <c r="R10" s="97">
        <v>1</v>
      </c>
    </row>
  </sheetData>
  <mergeCells count="17">
    <mergeCell ref="A1:Q1"/>
    <mergeCell ref="A2:A3"/>
    <mergeCell ref="N2:N3"/>
    <mergeCell ref="Q2:Q3"/>
    <mergeCell ref="G2:G3"/>
    <mergeCell ref="B2:B3"/>
    <mergeCell ref="C2:C3"/>
    <mergeCell ref="D2:D3"/>
    <mergeCell ref="E2:E3"/>
    <mergeCell ref="H2:H3"/>
    <mergeCell ref="I2:I3"/>
    <mergeCell ref="J2:J3"/>
    <mergeCell ref="K2:K3"/>
    <mergeCell ref="L2:L3"/>
    <mergeCell ref="P2:P3"/>
    <mergeCell ref="R2:R3"/>
    <mergeCell ref="M2:M3"/>
  </mergeCells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9"/>
  <sheetViews>
    <sheetView topLeftCell="B73" zoomScale="89" zoomScaleNormal="89" workbookViewId="0">
      <selection activeCell="F4" sqref="F4:F96"/>
    </sheetView>
  </sheetViews>
  <sheetFormatPr defaultRowHeight="16.5" customHeight="1"/>
  <cols>
    <col min="1" max="1" width="8.28515625" style="46" hidden="1" customWidth="1"/>
    <col min="2" max="2" width="6.85546875" style="80" customWidth="1"/>
    <col min="3" max="3" width="17.85546875" style="33" customWidth="1"/>
    <col min="4" max="4" width="41.140625" style="33" customWidth="1"/>
    <col min="5" max="5" width="6.140625" style="80" bestFit="1" customWidth="1"/>
    <col min="6" max="6" width="11" style="116" customWidth="1"/>
    <col min="7" max="7" width="33" style="243" customWidth="1"/>
    <col min="8" max="16384" width="9.140625" style="33"/>
  </cols>
  <sheetData>
    <row r="1" spans="1:9" ht="29.25" customHeight="1">
      <c r="A1" s="283" t="s">
        <v>686</v>
      </c>
      <c r="B1" s="283"/>
      <c r="C1" s="283"/>
      <c r="D1" s="283"/>
      <c r="E1" s="283"/>
      <c r="F1" s="283"/>
    </row>
    <row r="2" spans="1:9" s="79" customFormat="1" ht="30.75" customHeight="1">
      <c r="A2" s="371" t="s">
        <v>557</v>
      </c>
      <c r="B2" s="372" t="s">
        <v>256</v>
      </c>
      <c r="C2" s="365" t="s">
        <v>20</v>
      </c>
      <c r="D2" s="373" t="s">
        <v>1</v>
      </c>
      <c r="E2" s="365" t="s">
        <v>2</v>
      </c>
      <c r="F2" s="366" t="s">
        <v>439</v>
      </c>
      <c r="G2" s="311" t="s">
        <v>764</v>
      </c>
    </row>
    <row r="3" spans="1:9" s="79" customFormat="1" ht="24" customHeight="1">
      <c r="A3" s="371"/>
      <c r="B3" s="372"/>
      <c r="C3" s="365"/>
      <c r="D3" s="373"/>
      <c r="E3" s="365"/>
      <c r="F3" s="367"/>
      <c r="G3" s="312"/>
    </row>
    <row r="4" spans="1:9" s="51" customFormat="1" ht="16.5" customHeight="1">
      <c r="A4" s="128"/>
      <c r="B4" s="126">
        <v>1</v>
      </c>
      <c r="C4" s="54" t="s">
        <v>438</v>
      </c>
      <c r="D4" s="55" t="s">
        <v>437</v>
      </c>
      <c r="E4" s="50" t="s">
        <v>514</v>
      </c>
      <c r="F4" s="108">
        <v>1</v>
      </c>
      <c r="G4" s="64">
        <v>1</v>
      </c>
    </row>
    <row r="5" spans="1:9" s="51" customFormat="1" ht="16.5" customHeight="1">
      <c r="A5" s="128"/>
      <c r="B5" s="126">
        <v>2</v>
      </c>
      <c r="C5" s="55" t="s">
        <v>223</v>
      </c>
      <c r="D5" s="58" t="s">
        <v>446</v>
      </c>
      <c r="E5" s="50" t="s">
        <v>514</v>
      </c>
      <c r="F5" s="109">
        <v>4</v>
      </c>
      <c r="G5" s="244">
        <v>4</v>
      </c>
    </row>
    <row r="6" spans="1:9" s="51" customFormat="1" ht="16.5" customHeight="1">
      <c r="A6" s="128"/>
      <c r="B6" s="126">
        <v>3</v>
      </c>
      <c r="C6" s="55" t="s">
        <v>224</v>
      </c>
      <c r="D6" s="58" t="s">
        <v>257</v>
      </c>
      <c r="E6" s="50" t="s">
        <v>514</v>
      </c>
      <c r="F6" s="109">
        <v>6</v>
      </c>
      <c r="G6" s="244">
        <v>6</v>
      </c>
    </row>
    <row r="7" spans="1:9" s="51" customFormat="1" ht="16.5" customHeight="1">
      <c r="A7" s="128"/>
      <c r="B7" s="126">
        <v>4</v>
      </c>
      <c r="C7" s="55" t="s">
        <v>225</v>
      </c>
      <c r="D7" s="58" t="s">
        <v>247</v>
      </c>
      <c r="E7" s="50" t="s">
        <v>514</v>
      </c>
      <c r="F7" s="109">
        <v>3</v>
      </c>
      <c r="G7" s="244">
        <v>3</v>
      </c>
    </row>
    <row r="8" spans="1:9" s="51" customFormat="1" ht="16.5" customHeight="1">
      <c r="A8" s="128"/>
      <c r="B8" s="126">
        <v>5</v>
      </c>
      <c r="C8" s="55" t="s">
        <v>226</v>
      </c>
      <c r="D8" s="58" t="s">
        <v>248</v>
      </c>
      <c r="E8" s="50" t="s">
        <v>514</v>
      </c>
      <c r="F8" s="109">
        <v>3</v>
      </c>
      <c r="G8" s="244">
        <v>3</v>
      </c>
    </row>
    <row r="9" spans="1:9" s="51" customFormat="1" ht="16.5" customHeight="1">
      <c r="A9" s="128"/>
      <c r="B9" s="126">
        <v>6</v>
      </c>
      <c r="C9" s="55" t="s">
        <v>227</v>
      </c>
      <c r="D9" s="58" t="s">
        <v>377</v>
      </c>
      <c r="E9" s="50" t="s">
        <v>514</v>
      </c>
      <c r="F9" s="109">
        <v>4</v>
      </c>
      <c r="G9" s="244">
        <v>4</v>
      </c>
    </row>
    <row r="10" spans="1:9" s="51" customFormat="1" ht="16.5" customHeight="1">
      <c r="A10" s="128"/>
      <c r="B10" s="126">
        <v>7</v>
      </c>
      <c r="C10" s="55" t="s">
        <v>228</v>
      </c>
      <c r="D10" s="58" t="s">
        <v>447</v>
      </c>
      <c r="E10" s="50" t="s">
        <v>514</v>
      </c>
      <c r="F10" s="109">
        <v>6</v>
      </c>
      <c r="G10" s="244">
        <v>6</v>
      </c>
    </row>
    <row r="11" spans="1:9" s="51" customFormat="1" ht="16.5" customHeight="1">
      <c r="A11" s="128"/>
      <c r="B11" s="126">
        <v>8</v>
      </c>
      <c r="C11" s="55" t="s">
        <v>229</v>
      </c>
      <c r="D11" s="62" t="s">
        <v>249</v>
      </c>
      <c r="E11" s="50" t="s">
        <v>255</v>
      </c>
      <c r="F11" s="110" t="s">
        <v>441</v>
      </c>
      <c r="G11" s="245" t="s">
        <v>441</v>
      </c>
    </row>
    <row r="12" spans="1:9" s="51" customFormat="1" ht="16.5" customHeight="1">
      <c r="A12" s="128"/>
      <c r="B12" s="126">
        <v>9</v>
      </c>
      <c r="C12" s="55" t="s">
        <v>378</v>
      </c>
      <c r="D12" s="58" t="s">
        <v>380</v>
      </c>
      <c r="E12" s="50" t="s">
        <v>255</v>
      </c>
      <c r="F12" s="109">
        <v>1</v>
      </c>
      <c r="G12" s="244">
        <v>1</v>
      </c>
    </row>
    <row r="13" spans="1:9" s="51" customFormat="1" ht="16.5" customHeight="1">
      <c r="A13" s="128"/>
      <c r="B13" s="126">
        <v>10</v>
      </c>
      <c r="C13" s="55" t="s">
        <v>379</v>
      </c>
      <c r="D13" s="58" t="s">
        <v>381</v>
      </c>
      <c r="E13" s="50" t="s">
        <v>255</v>
      </c>
      <c r="F13" s="109">
        <v>1</v>
      </c>
      <c r="G13" s="244">
        <v>1</v>
      </c>
    </row>
    <row r="14" spans="1:9" s="51" customFormat="1" ht="33.75" customHeight="1">
      <c r="A14" s="128"/>
      <c r="B14" s="126">
        <v>11</v>
      </c>
      <c r="C14" s="55" t="s">
        <v>232</v>
      </c>
      <c r="D14" s="63" t="s">
        <v>565</v>
      </c>
      <c r="E14" s="50" t="s">
        <v>514</v>
      </c>
      <c r="F14" s="111">
        <v>4</v>
      </c>
      <c r="G14" s="246">
        <v>4</v>
      </c>
      <c r="H14" s="174"/>
      <c r="I14" s="174"/>
    </row>
    <row r="15" spans="1:9" s="51" customFormat="1" ht="16.5" customHeight="1">
      <c r="A15" s="128"/>
      <c r="B15" s="126">
        <v>12</v>
      </c>
      <c r="C15" s="55" t="s">
        <v>258</v>
      </c>
      <c r="D15" s="63" t="s">
        <v>382</v>
      </c>
      <c r="E15" s="50" t="s">
        <v>514</v>
      </c>
      <c r="F15" s="111">
        <v>1</v>
      </c>
      <c r="G15" s="246">
        <v>1</v>
      </c>
      <c r="H15" s="174"/>
      <c r="I15" s="174"/>
    </row>
    <row r="16" spans="1:9" s="51" customFormat="1" ht="27.75" customHeight="1">
      <c r="A16" s="128"/>
      <c r="B16" s="127">
        <v>13</v>
      </c>
      <c r="C16" s="102" t="s">
        <v>442</v>
      </c>
      <c r="D16" s="103" t="s">
        <v>259</v>
      </c>
      <c r="E16" s="53" t="s">
        <v>514</v>
      </c>
      <c r="F16" s="175">
        <v>2</v>
      </c>
      <c r="G16" s="247">
        <v>5</v>
      </c>
      <c r="H16" s="174"/>
      <c r="I16" s="174"/>
    </row>
    <row r="17" spans="1:9" s="119" customFormat="1" ht="29.25" customHeight="1">
      <c r="A17" s="129"/>
      <c r="B17" s="127">
        <v>14</v>
      </c>
      <c r="C17" s="102" t="s">
        <v>234</v>
      </c>
      <c r="D17" s="103" t="s">
        <v>260</v>
      </c>
      <c r="E17" s="53" t="s">
        <v>514</v>
      </c>
      <c r="F17" s="107">
        <v>3</v>
      </c>
      <c r="G17" s="104">
        <v>3</v>
      </c>
      <c r="H17" s="174"/>
      <c r="I17" s="174"/>
    </row>
    <row r="18" spans="1:9" s="51" customFormat="1" ht="16.5" customHeight="1">
      <c r="A18" s="128"/>
      <c r="B18" s="126">
        <v>15</v>
      </c>
      <c r="C18" s="55" t="s">
        <v>235</v>
      </c>
      <c r="D18" s="63" t="s">
        <v>448</v>
      </c>
      <c r="E18" s="50" t="s">
        <v>514</v>
      </c>
      <c r="F18" s="111">
        <v>1</v>
      </c>
      <c r="G18" s="246">
        <v>1</v>
      </c>
      <c r="H18" s="174"/>
      <c r="I18" s="174"/>
    </row>
    <row r="19" spans="1:9" s="51" customFormat="1" ht="16.5" customHeight="1">
      <c r="A19" s="128"/>
      <c r="B19" s="126">
        <v>16</v>
      </c>
      <c r="C19" s="55" t="s">
        <v>236</v>
      </c>
      <c r="D19" s="63" t="s">
        <v>261</v>
      </c>
      <c r="E19" s="50" t="s">
        <v>514</v>
      </c>
      <c r="F19" s="111">
        <v>1</v>
      </c>
      <c r="G19" s="246">
        <v>1</v>
      </c>
      <c r="H19" s="174"/>
      <c r="I19" s="174"/>
    </row>
    <row r="20" spans="1:9" s="51" customFormat="1" ht="16.5" customHeight="1">
      <c r="A20" s="128"/>
      <c r="B20" s="126">
        <v>17</v>
      </c>
      <c r="C20" s="55" t="s">
        <v>237</v>
      </c>
      <c r="D20" s="58" t="s">
        <v>262</v>
      </c>
      <c r="E20" s="50" t="s">
        <v>514</v>
      </c>
      <c r="F20" s="109">
        <v>1</v>
      </c>
      <c r="G20" s="244">
        <v>1</v>
      </c>
      <c r="H20" s="174"/>
      <c r="I20" s="174"/>
    </row>
    <row r="21" spans="1:9" s="51" customFormat="1" ht="27" customHeight="1">
      <c r="A21" s="128"/>
      <c r="B21" s="127">
        <v>18</v>
      </c>
      <c r="C21" s="102" t="s">
        <v>239</v>
      </c>
      <c r="D21" s="103" t="s">
        <v>449</v>
      </c>
      <c r="E21" s="53" t="s">
        <v>514</v>
      </c>
      <c r="F21" s="107">
        <v>3</v>
      </c>
      <c r="G21" s="104">
        <v>3</v>
      </c>
      <c r="H21" s="174"/>
      <c r="I21" s="174"/>
    </row>
    <row r="22" spans="1:9" s="51" customFormat="1" ht="16.5" customHeight="1">
      <c r="A22" s="128"/>
      <c r="B22" s="126">
        <v>19</v>
      </c>
      <c r="C22" s="55" t="s">
        <v>240</v>
      </c>
      <c r="D22" s="58" t="s">
        <v>566</v>
      </c>
      <c r="E22" s="50" t="s">
        <v>514</v>
      </c>
      <c r="F22" s="109">
        <v>2</v>
      </c>
      <c r="G22" s="247">
        <v>3</v>
      </c>
    </row>
    <row r="23" spans="1:9" s="51" customFormat="1" ht="16.5" customHeight="1">
      <c r="A23" s="128"/>
      <c r="B23" s="126">
        <v>20</v>
      </c>
      <c r="C23" s="55" t="s">
        <v>241</v>
      </c>
      <c r="D23" s="58" t="s">
        <v>450</v>
      </c>
      <c r="E23" s="50" t="s">
        <v>514</v>
      </c>
      <c r="F23" s="109">
        <v>1</v>
      </c>
      <c r="G23" s="244">
        <v>1</v>
      </c>
    </row>
    <row r="24" spans="1:9" s="51" customFormat="1" ht="16.5" customHeight="1">
      <c r="A24" s="128"/>
      <c r="B24" s="126">
        <v>21</v>
      </c>
      <c r="C24" s="55" t="s">
        <v>244</v>
      </c>
      <c r="D24" s="59" t="s">
        <v>451</v>
      </c>
      <c r="E24" s="50" t="s">
        <v>514</v>
      </c>
      <c r="F24" s="112">
        <v>1</v>
      </c>
      <c r="G24" s="248">
        <v>1</v>
      </c>
    </row>
    <row r="25" spans="1:9" s="51" customFormat="1" ht="16.5" customHeight="1">
      <c r="A25" s="128"/>
      <c r="B25" s="126">
        <v>22</v>
      </c>
      <c r="C25" s="55" t="s">
        <v>245</v>
      </c>
      <c r="D25" s="58" t="s">
        <v>452</v>
      </c>
      <c r="E25" s="50" t="s">
        <v>514</v>
      </c>
      <c r="F25" s="109">
        <v>2</v>
      </c>
      <c r="G25" s="244">
        <v>2</v>
      </c>
    </row>
    <row r="26" spans="1:9" s="51" customFormat="1" ht="16.5" customHeight="1">
      <c r="A26" s="128"/>
      <c r="B26" s="126">
        <v>23</v>
      </c>
      <c r="C26" s="55" t="s">
        <v>246</v>
      </c>
      <c r="D26" s="58" t="s">
        <v>453</v>
      </c>
      <c r="E26" s="50" t="s">
        <v>514</v>
      </c>
      <c r="F26" s="109">
        <v>2</v>
      </c>
      <c r="G26" s="244">
        <v>2</v>
      </c>
    </row>
    <row r="27" spans="1:9" s="51" customFormat="1" ht="16.5" customHeight="1">
      <c r="A27" s="128"/>
      <c r="B27" s="127">
        <v>24</v>
      </c>
      <c r="C27" s="102" t="s">
        <v>222</v>
      </c>
      <c r="D27" s="103" t="s">
        <v>454</v>
      </c>
      <c r="E27" s="53" t="s">
        <v>514</v>
      </c>
      <c r="F27" s="175">
        <v>4</v>
      </c>
      <c r="G27" s="247">
        <v>4</v>
      </c>
    </row>
    <row r="28" spans="1:9" s="51" customFormat="1" ht="16.5" customHeight="1">
      <c r="A28" s="128"/>
      <c r="B28" s="126">
        <v>25</v>
      </c>
      <c r="C28" s="55" t="s">
        <v>230</v>
      </c>
      <c r="D28" s="58" t="s">
        <v>563</v>
      </c>
      <c r="E28" s="50" t="s">
        <v>514</v>
      </c>
      <c r="F28" s="109">
        <v>2</v>
      </c>
      <c r="G28" s="244">
        <v>2</v>
      </c>
    </row>
    <row r="29" spans="1:9" s="51" customFormat="1" ht="16.5" customHeight="1">
      <c r="A29" s="128"/>
      <c r="B29" s="126">
        <v>26</v>
      </c>
      <c r="C29" s="56" t="s">
        <v>231</v>
      </c>
      <c r="D29" s="63" t="s">
        <v>250</v>
      </c>
      <c r="E29" s="50" t="s">
        <v>514</v>
      </c>
      <c r="F29" s="111">
        <v>2</v>
      </c>
      <c r="G29" s="246">
        <v>2</v>
      </c>
    </row>
    <row r="30" spans="1:9" s="51" customFormat="1" ht="16.5" customHeight="1">
      <c r="A30" s="128"/>
      <c r="B30" s="126">
        <v>27</v>
      </c>
      <c r="C30" s="55" t="s">
        <v>233</v>
      </c>
      <c r="D30" s="60" t="s">
        <v>251</v>
      </c>
      <c r="E30" s="50" t="s">
        <v>255</v>
      </c>
      <c r="F30" s="113">
        <v>5</v>
      </c>
      <c r="G30" s="249">
        <v>5</v>
      </c>
    </row>
    <row r="31" spans="1:9" s="51" customFormat="1" ht="16.5" customHeight="1">
      <c r="A31" s="128"/>
      <c r="B31" s="126">
        <v>28</v>
      </c>
      <c r="C31" s="55" t="s">
        <v>263</v>
      </c>
      <c r="D31" s="60" t="s">
        <v>252</v>
      </c>
      <c r="E31" s="50" t="s">
        <v>514</v>
      </c>
      <c r="F31" s="113">
        <v>1</v>
      </c>
      <c r="G31" s="249">
        <v>1</v>
      </c>
    </row>
    <row r="32" spans="1:9" s="51" customFormat="1" ht="16.5" customHeight="1">
      <c r="A32" s="128"/>
      <c r="B32" s="126">
        <v>29</v>
      </c>
      <c r="C32" s="55" t="s">
        <v>443</v>
      </c>
      <c r="D32" s="60" t="s">
        <v>253</v>
      </c>
      <c r="E32" s="50" t="s">
        <v>514</v>
      </c>
      <c r="F32" s="113">
        <v>1</v>
      </c>
      <c r="G32" s="249">
        <v>1</v>
      </c>
    </row>
    <row r="33" spans="1:9" s="51" customFormat="1" ht="16.5" customHeight="1">
      <c r="A33" s="128"/>
      <c r="B33" s="126">
        <v>30</v>
      </c>
      <c r="C33" s="55" t="s">
        <v>264</v>
      </c>
      <c r="D33" s="60" t="s">
        <v>567</v>
      </c>
      <c r="E33" s="50" t="s">
        <v>514</v>
      </c>
      <c r="F33" s="113">
        <v>2</v>
      </c>
      <c r="G33" s="249">
        <v>2</v>
      </c>
    </row>
    <row r="34" spans="1:9" s="143" customFormat="1" ht="16.5" customHeight="1">
      <c r="A34" s="31"/>
      <c r="B34" s="139">
        <v>31</v>
      </c>
      <c r="C34" s="56" t="s">
        <v>265</v>
      </c>
      <c r="D34" s="140" t="s">
        <v>568</v>
      </c>
      <c r="E34" s="141" t="s">
        <v>514</v>
      </c>
      <c r="F34" s="142">
        <v>4</v>
      </c>
      <c r="G34" s="250">
        <v>4</v>
      </c>
    </row>
    <row r="35" spans="1:9" s="51" customFormat="1" ht="16.5" customHeight="1">
      <c r="A35" s="128"/>
      <c r="B35" s="126">
        <v>32</v>
      </c>
      <c r="C35" s="55" t="s">
        <v>267</v>
      </c>
      <c r="D35" s="60" t="s">
        <v>266</v>
      </c>
      <c r="E35" s="50" t="s">
        <v>514</v>
      </c>
      <c r="F35" s="113">
        <v>2</v>
      </c>
      <c r="G35" s="249">
        <v>2</v>
      </c>
    </row>
    <row r="36" spans="1:9" s="51" customFormat="1" ht="16.5" customHeight="1">
      <c r="A36" s="128"/>
      <c r="B36" s="126">
        <v>33</v>
      </c>
      <c r="C36" s="54" t="s">
        <v>269</v>
      </c>
      <c r="D36" s="55" t="s">
        <v>681</v>
      </c>
      <c r="E36" s="50" t="s">
        <v>514</v>
      </c>
      <c r="F36" s="114">
        <v>2</v>
      </c>
      <c r="G36" s="50">
        <v>2</v>
      </c>
    </row>
    <row r="37" spans="1:9" s="51" customFormat="1" ht="16.5" customHeight="1">
      <c r="A37" s="128"/>
      <c r="B37" s="126">
        <v>34</v>
      </c>
      <c r="C37" s="55" t="s">
        <v>270</v>
      </c>
      <c r="D37" s="60" t="s">
        <v>271</v>
      </c>
      <c r="E37" s="50" t="s">
        <v>514</v>
      </c>
      <c r="F37" s="113">
        <v>2</v>
      </c>
      <c r="G37" s="249">
        <v>2</v>
      </c>
    </row>
    <row r="38" spans="1:9" s="51" customFormat="1" ht="16.5" customHeight="1">
      <c r="A38" s="128"/>
      <c r="B38" s="126">
        <v>35</v>
      </c>
      <c r="C38" s="55" t="s">
        <v>242</v>
      </c>
      <c r="D38" s="60" t="s">
        <v>455</v>
      </c>
      <c r="E38" s="50" t="s">
        <v>514</v>
      </c>
      <c r="F38" s="113">
        <v>1</v>
      </c>
      <c r="G38" s="249">
        <v>1</v>
      </c>
    </row>
    <row r="39" spans="1:9" s="51" customFormat="1" ht="16.5" customHeight="1">
      <c r="A39" s="128"/>
      <c r="B39" s="126">
        <v>36</v>
      </c>
      <c r="C39" s="54" t="s">
        <v>243</v>
      </c>
      <c r="D39" s="55" t="s">
        <v>569</v>
      </c>
      <c r="E39" s="50" t="s">
        <v>514</v>
      </c>
      <c r="F39" s="114">
        <v>2</v>
      </c>
      <c r="G39" s="50">
        <v>2</v>
      </c>
    </row>
    <row r="40" spans="1:9" s="51" customFormat="1" ht="16.5" customHeight="1">
      <c r="A40" s="128"/>
      <c r="B40" s="126">
        <v>37</v>
      </c>
      <c r="C40" s="54" t="s">
        <v>272</v>
      </c>
      <c r="D40" s="55" t="s">
        <v>570</v>
      </c>
      <c r="E40" s="50" t="s">
        <v>514</v>
      </c>
      <c r="F40" s="114">
        <v>1</v>
      </c>
      <c r="G40" s="50">
        <v>1</v>
      </c>
    </row>
    <row r="41" spans="1:9" s="119" customFormat="1" ht="26.25" customHeight="1">
      <c r="A41" s="129"/>
      <c r="B41" s="127">
        <v>38</v>
      </c>
      <c r="C41" s="102" t="s">
        <v>273</v>
      </c>
      <c r="D41" s="117" t="s">
        <v>564</v>
      </c>
      <c r="E41" s="53" t="s">
        <v>514</v>
      </c>
      <c r="F41" s="118">
        <v>2</v>
      </c>
      <c r="G41" s="271">
        <v>3</v>
      </c>
      <c r="H41" s="143"/>
      <c r="I41" s="143"/>
    </row>
    <row r="42" spans="1:9" s="145" customFormat="1" ht="15.75" customHeight="1">
      <c r="A42" s="144"/>
      <c r="B42" s="127">
        <v>39</v>
      </c>
      <c r="C42" s="102" t="s">
        <v>274</v>
      </c>
      <c r="D42" s="103" t="s">
        <v>456</v>
      </c>
      <c r="E42" s="53" t="s">
        <v>514</v>
      </c>
      <c r="F42" s="175">
        <v>1</v>
      </c>
      <c r="G42" s="246">
        <v>1</v>
      </c>
      <c r="H42" s="143"/>
      <c r="I42" s="143"/>
    </row>
    <row r="43" spans="1:9" s="105" customFormat="1" ht="15.75">
      <c r="A43" s="130"/>
      <c r="B43" s="127">
        <v>40</v>
      </c>
      <c r="C43" s="102" t="s">
        <v>238</v>
      </c>
      <c r="D43" s="103" t="s">
        <v>254</v>
      </c>
      <c r="E43" s="53" t="s">
        <v>514</v>
      </c>
      <c r="F43" s="107">
        <v>3</v>
      </c>
      <c r="G43" s="65">
        <v>3</v>
      </c>
      <c r="H43" s="176"/>
      <c r="I43" s="176"/>
    </row>
    <row r="44" spans="1:9" ht="16.5" customHeight="1">
      <c r="B44" s="126">
        <v>41</v>
      </c>
      <c r="C44" s="54" t="s">
        <v>457</v>
      </c>
      <c r="D44" s="57" t="s">
        <v>458</v>
      </c>
      <c r="E44" s="50" t="s">
        <v>514</v>
      </c>
      <c r="F44" s="115">
        <v>7</v>
      </c>
      <c r="G44" s="52">
        <v>7</v>
      </c>
    </row>
    <row r="45" spans="1:9" ht="16.5" customHeight="1">
      <c r="B45" s="127">
        <v>42</v>
      </c>
      <c r="C45" s="203" t="s">
        <v>670</v>
      </c>
      <c r="D45" s="203" t="s">
        <v>571</v>
      </c>
      <c r="E45" s="53" t="s">
        <v>514</v>
      </c>
      <c r="F45" s="204">
        <v>9</v>
      </c>
      <c r="G45" s="251">
        <v>9</v>
      </c>
    </row>
    <row r="46" spans="1:9" ht="16.5" customHeight="1">
      <c r="B46" s="209">
        <v>43</v>
      </c>
      <c r="C46" s="210" t="s">
        <v>460</v>
      </c>
      <c r="D46" s="210" t="s">
        <v>459</v>
      </c>
      <c r="E46" s="114" t="s">
        <v>444</v>
      </c>
      <c r="F46" s="114" t="s">
        <v>444</v>
      </c>
      <c r="G46" s="50" t="s">
        <v>444</v>
      </c>
    </row>
    <row r="47" spans="1:9" ht="16.5" customHeight="1">
      <c r="B47" s="126" t="s">
        <v>492</v>
      </c>
      <c r="C47" s="57" t="s">
        <v>236</v>
      </c>
      <c r="D47" s="57" t="s">
        <v>461</v>
      </c>
      <c r="E47" s="50" t="s">
        <v>514</v>
      </c>
      <c r="F47" s="115">
        <v>1</v>
      </c>
      <c r="G47" s="52">
        <v>1</v>
      </c>
    </row>
    <row r="48" spans="1:9" ht="27" customHeight="1">
      <c r="B48" s="126" t="s">
        <v>493</v>
      </c>
      <c r="C48" s="57" t="s">
        <v>462</v>
      </c>
      <c r="D48" s="61" t="s">
        <v>463</v>
      </c>
      <c r="E48" s="39" t="s">
        <v>515</v>
      </c>
      <c r="F48" s="114">
        <v>0.5</v>
      </c>
      <c r="G48" s="50">
        <v>0.5</v>
      </c>
    </row>
    <row r="49" spans="2:7" ht="27" customHeight="1">
      <c r="B49" s="126" t="s">
        <v>494</v>
      </c>
      <c r="C49" s="57" t="s">
        <v>464</v>
      </c>
      <c r="D49" s="61" t="s">
        <v>516</v>
      </c>
      <c r="E49" s="50" t="s">
        <v>514</v>
      </c>
      <c r="F49" s="114">
        <v>4</v>
      </c>
      <c r="G49" s="50">
        <v>4</v>
      </c>
    </row>
    <row r="50" spans="2:7" ht="16.5" customHeight="1">
      <c r="B50" s="126" t="s">
        <v>495</v>
      </c>
      <c r="C50" s="57" t="s">
        <v>465</v>
      </c>
      <c r="D50" s="57" t="s">
        <v>466</v>
      </c>
      <c r="E50" s="50" t="s">
        <v>514</v>
      </c>
      <c r="F50" s="114">
        <v>2</v>
      </c>
      <c r="G50" s="50">
        <v>2</v>
      </c>
    </row>
    <row r="51" spans="2:7" ht="16.5" customHeight="1">
      <c r="B51" s="126" t="s">
        <v>496</v>
      </c>
      <c r="C51" s="57" t="s">
        <v>467</v>
      </c>
      <c r="D51" s="57" t="s">
        <v>468</v>
      </c>
      <c r="E51" s="50" t="s">
        <v>514</v>
      </c>
      <c r="F51" s="114">
        <v>2</v>
      </c>
      <c r="G51" s="50">
        <v>2</v>
      </c>
    </row>
    <row r="52" spans="2:7" ht="16.5" customHeight="1">
      <c r="B52" s="126" t="s">
        <v>497</v>
      </c>
      <c r="C52" s="57" t="s">
        <v>469</v>
      </c>
      <c r="D52" s="61" t="s">
        <v>470</v>
      </c>
      <c r="E52" s="50" t="s">
        <v>514</v>
      </c>
      <c r="F52" s="114">
        <v>7</v>
      </c>
      <c r="G52" s="50">
        <v>7</v>
      </c>
    </row>
    <row r="53" spans="2:7" ht="16.5" customHeight="1">
      <c r="B53" s="126" t="s">
        <v>498</v>
      </c>
      <c r="C53" s="57" t="s">
        <v>471</v>
      </c>
      <c r="D53" s="61" t="s">
        <v>472</v>
      </c>
      <c r="E53" s="50" t="s">
        <v>514</v>
      </c>
      <c r="F53" s="114">
        <v>7</v>
      </c>
      <c r="G53" s="50">
        <v>7</v>
      </c>
    </row>
    <row r="54" spans="2:7" ht="16.5" customHeight="1">
      <c r="B54" s="126" t="s">
        <v>535</v>
      </c>
      <c r="C54" s="57" t="s">
        <v>473</v>
      </c>
      <c r="D54" s="61" t="s">
        <v>474</v>
      </c>
      <c r="E54" s="50" t="s">
        <v>514</v>
      </c>
      <c r="F54" s="114">
        <v>12</v>
      </c>
      <c r="G54" s="50">
        <v>12</v>
      </c>
    </row>
    <row r="55" spans="2:7" ht="16.5" customHeight="1">
      <c r="B55" s="126" t="s">
        <v>499</v>
      </c>
      <c r="C55" s="57" t="s">
        <v>237</v>
      </c>
      <c r="D55" s="61" t="s">
        <v>262</v>
      </c>
      <c r="E55" s="50" t="s">
        <v>514</v>
      </c>
      <c r="F55" s="114">
        <v>1</v>
      </c>
      <c r="G55" s="50">
        <v>1</v>
      </c>
    </row>
    <row r="56" spans="2:7" ht="16.5" customHeight="1">
      <c r="B56" s="126" t="s">
        <v>500</v>
      </c>
      <c r="C56" s="57" t="s">
        <v>475</v>
      </c>
      <c r="D56" s="61" t="s">
        <v>476</v>
      </c>
      <c r="E56" s="50" t="s">
        <v>514</v>
      </c>
      <c r="F56" s="114">
        <v>8</v>
      </c>
      <c r="G56" s="50">
        <v>8</v>
      </c>
    </row>
    <row r="57" spans="2:7" ht="16.5" customHeight="1">
      <c r="B57" s="126" t="s">
        <v>501</v>
      </c>
      <c r="C57" s="57" t="s">
        <v>477</v>
      </c>
      <c r="D57" s="61" t="s">
        <v>478</v>
      </c>
      <c r="E57" s="50" t="s">
        <v>514</v>
      </c>
      <c r="F57" s="114">
        <v>8</v>
      </c>
      <c r="G57" s="50">
        <v>8</v>
      </c>
    </row>
    <row r="58" spans="2:7" ht="16.5" customHeight="1">
      <c r="B58" s="126" t="s">
        <v>502</v>
      </c>
      <c r="C58" s="57" t="s">
        <v>479</v>
      </c>
      <c r="D58" s="61" t="s">
        <v>480</v>
      </c>
      <c r="E58" s="50" t="s">
        <v>514</v>
      </c>
      <c r="F58" s="114">
        <v>4</v>
      </c>
      <c r="G58" s="50">
        <v>4</v>
      </c>
    </row>
    <row r="59" spans="2:7" ht="16.5" customHeight="1">
      <c r="B59" s="126" t="s">
        <v>503</v>
      </c>
      <c r="C59" s="57" t="s">
        <v>481</v>
      </c>
      <c r="D59" s="61" t="s">
        <v>482</v>
      </c>
      <c r="E59" s="50" t="s">
        <v>514</v>
      </c>
      <c r="F59" s="114">
        <v>4</v>
      </c>
      <c r="G59" s="50">
        <v>4</v>
      </c>
    </row>
    <row r="60" spans="2:7" ht="16.5" customHeight="1">
      <c r="B60" s="126" t="s">
        <v>504</v>
      </c>
      <c r="C60" s="57" t="s">
        <v>483</v>
      </c>
      <c r="D60" s="61" t="s">
        <v>484</v>
      </c>
      <c r="E60" s="50" t="s">
        <v>514</v>
      </c>
      <c r="F60" s="114">
        <v>4</v>
      </c>
      <c r="G60" s="50">
        <v>4</v>
      </c>
    </row>
    <row r="61" spans="2:7" ht="16.5" customHeight="1">
      <c r="B61" s="126" t="s">
        <v>505</v>
      </c>
      <c r="C61" s="57" t="s">
        <v>234</v>
      </c>
      <c r="D61" s="61" t="s">
        <v>485</v>
      </c>
      <c r="E61" s="50" t="s">
        <v>514</v>
      </c>
      <c r="F61" s="114">
        <v>1</v>
      </c>
      <c r="G61" s="50">
        <v>1</v>
      </c>
    </row>
    <row r="62" spans="2:7" ht="31.5">
      <c r="B62" s="126" t="s">
        <v>506</v>
      </c>
      <c r="C62" s="57" t="s">
        <v>235</v>
      </c>
      <c r="D62" s="61" t="s">
        <v>517</v>
      </c>
      <c r="E62" s="50" t="s">
        <v>514</v>
      </c>
      <c r="F62" s="114">
        <v>1</v>
      </c>
      <c r="G62" s="50">
        <v>1</v>
      </c>
    </row>
    <row r="63" spans="2:7" ht="16.5" customHeight="1">
      <c r="B63" s="126" t="s">
        <v>507</v>
      </c>
      <c r="C63" s="57" t="s">
        <v>486</v>
      </c>
      <c r="D63" s="61" t="s">
        <v>487</v>
      </c>
      <c r="E63" s="50" t="s">
        <v>514</v>
      </c>
      <c r="F63" s="114">
        <v>2</v>
      </c>
      <c r="G63" s="50">
        <v>2</v>
      </c>
    </row>
    <row r="64" spans="2:7" ht="16.5" customHeight="1">
      <c r="B64" s="126" t="s">
        <v>508</v>
      </c>
      <c r="C64" s="57" t="s">
        <v>477</v>
      </c>
      <c r="D64" s="61" t="s">
        <v>478</v>
      </c>
      <c r="E64" s="50" t="s">
        <v>514</v>
      </c>
      <c r="F64" s="114">
        <v>2</v>
      </c>
      <c r="G64" s="50">
        <v>2</v>
      </c>
    </row>
    <row r="65" spans="2:7" ht="16.5" customHeight="1">
      <c r="B65" s="126" t="s">
        <v>509</v>
      </c>
      <c r="C65" s="57" t="s">
        <v>475</v>
      </c>
      <c r="D65" s="61" t="s">
        <v>476</v>
      </c>
      <c r="E65" s="50" t="s">
        <v>514</v>
      </c>
      <c r="F65" s="114">
        <v>2</v>
      </c>
      <c r="G65" s="50">
        <v>2</v>
      </c>
    </row>
    <row r="66" spans="2:7" ht="16.5" customHeight="1">
      <c r="B66" s="126" t="s">
        <v>510</v>
      </c>
      <c r="C66" s="57">
        <v>920046200</v>
      </c>
      <c r="D66" s="61" t="s">
        <v>488</v>
      </c>
      <c r="E66" s="50" t="s">
        <v>514</v>
      </c>
      <c r="F66" s="114">
        <v>8</v>
      </c>
      <c r="G66" s="50">
        <v>8</v>
      </c>
    </row>
    <row r="67" spans="2:7" ht="16.5" customHeight="1">
      <c r="B67" s="126" t="s">
        <v>511</v>
      </c>
      <c r="C67" s="57">
        <v>926022900</v>
      </c>
      <c r="D67" s="61" t="s">
        <v>489</v>
      </c>
      <c r="E67" s="50" t="s">
        <v>514</v>
      </c>
      <c r="F67" s="114">
        <v>8</v>
      </c>
      <c r="G67" s="50">
        <v>8</v>
      </c>
    </row>
    <row r="68" spans="2:7" ht="16.5" customHeight="1">
      <c r="B68" s="126" t="s">
        <v>512</v>
      </c>
      <c r="C68" s="57">
        <v>908020800</v>
      </c>
      <c r="D68" s="61" t="s">
        <v>490</v>
      </c>
      <c r="E68" s="50" t="s">
        <v>514</v>
      </c>
      <c r="F68" s="114">
        <v>8</v>
      </c>
      <c r="G68" s="50">
        <v>8</v>
      </c>
    </row>
    <row r="69" spans="2:7" ht="16.5" customHeight="1">
      <c r="B69" s="126" t="s">
        <v>513</v>
      </c>
      <c r="C69" s="57">
        <v>909022700</v>
      </c>
      <c r="D69" s="61" t="s">
        <v>491</v>
      </c>
      <c r="E69" s="50" t="s">
        <v>514</v>
      </c>
      <c r="F69" s="114">
        <v>8</v>
      </c>
      <c r="G69" s="50">
        <v>8</v>
      </c>
    </row>
    <row r="70" spans="2:7" ht="16.5" customHeight="1">
      <c r="B70" s="39">
        <v>44</v>
      </c>
      <c r="C70" s="46" t="s">
        <v>619</v>
      </c>
      <c r="D70" s="205" t="s">
        <v>615</v>
      </c>
      <c r="E70" s="39" t="s">
        <v>3</v>
      </c>
      <c r="F70" s="115">
        <v>2</v>
      </c>
      <c r="G70" s="52">
        <v>2</v>
      </c>
    </row>
    <row r="71" spans="2:7" ht="16.5" customHeight="1">
      <c r="B71" s="39">
        <v>45</v>
      </c>
      <c r="C71" s="46" t="s">
        <v>620</v>
      </c>
      <c r="D71" s="205" t="s">
        <v>616</v>
      </c>
      <c r="E71" s="39" t="s">
        <v>4</v>
      </c>
      <c r="F71" s="115">
        <v>1</v>
      </c>
      <c r="G71" s="52">
        <v>1</v>
      </c>
    </row>
    <row r="72" spans="2:7" ht="16.5" customHeight="1">
      <c r="B72" s="114">
        <v>46</v>
      </c>
      <c r="C72" s="114" t="s">
        <v>618</v>
      </c>
      <c r="D72" s="208" t="s">
        <v>617</v>
      </c>
      <c r="E72" s="114" t="s">
        <v>618</v>
      </c>
      <c r="F72" s="115" t="s">
        <v>618</v>
      </c>
      <c r="G72" s="52" t="s">
        <v>618</v>
      </c>
    </row>
    <row r="73" spans="2:7" ht="16.5" customHeight="1">
      <c r="B73" s="206" t="s">
        <v>492</v>
      </c>
      <c r="C73" s="46" t="s">
        <v>644</v>
      </c>
      <c r="D73" s="205" t="s">
        <v>621</v>
      </c>
      <c r="E73" s="39" t="s">
        <v>3</v>
      </c>
      <c r="F73" s="39">
        <v>4</v>
      </c>
      <c r="G73" s="50">
        <v>4</v>
      </c>
    </row>
    <row r="74" spans="2:7" ht="16.5" customHeight="1">
      <c r="B74" s="206" t="s">
        <v>493</v>
      </c>
      <c r="C74" s="46" t="s">
        <v>645</v>
      </c>
      <c r="D74" s="205" t="s">
        <v>622</v>
      </c>
      <c r="E74" s="39" t="s">
        <v>4</v>
      </c>
      <c r="F74" s="44">
        <v>1</v>
      </c>
      <c r="G74" s="66">
        <v>1</v>
      </c>
    </row>
    <row r="75" spans="2:7" ht="16.5" customHeight="1">
      <c r="B75" s="206" t="s">
        <v>494</v>
      </c>
      <c r="C75" s="46" t="s">
        <v>646</v>
      </c>
      <c r="D75" s="205" t="s">
        <v>623</v>
      </c>
      <c r="E75" s="39" t="s">
        <v>667</v>
      </c>
      <c r="F75" s="44">
        <v>0.1</v>
      </c>
      <c r="G75" s="66">
        <v>0.1</v>
      </c>
    </row>
    <row r="76" spans="2:7" ht="16.5" customHeight="1">
      <c r="B76" s="206" t="s">
        <v>495</v>
      </c>
      <c r="C76" s="46" t="s">
        <v>647</v>
      </c>
      <c r="D76" s="205" t="s">
        <v>624</v>
      </c>
      <c r="E76" s="39" t="s">
        <v>3</v>
      </c>
      <c r="F76" s="44">
        <v>2</v>
      </c>
      <c r="G76" s="66">
        <v>2</v>
      </c>
    </row>
    <row r="77" spans="2:7" ht="16.5" customHeight="1">
      <c r="B77" s="206" t="s">
        <v>496</v>
      </c>
      <c r="C77" s="46" t="s">
        <v>648</v>
      </c>
      <c r="D77" s="205" t="s">
        <v>625</v>
      </c>
      <c r="E77" s="39" t="s">
        <v>4</v>
      </c>
      <c r="F77" s="44">
        <v>1</v>
      </c>
      <c r="G77" s="66">
        <v>1</v>
      </c>
    </row>
    <row r="78" spans="2:7" ht="16.5" customHeight="1">
      <c r="B78" s="206" t="s">
        <v>497</v>
      </c>
      <c r="C78" s="46" t="s">
        <v>649</v>
      </c>
      <c r="D78" s="205" t="s">
        <v>626</v>
      </c>
      <c r="E78" s="39" t="s">
        <v>3</v>
      </c>
      <c r="F78" s="44">
        <v>8</v>
      </c>
      <c r="G78" s="66">
        <v>8</v>
      </c>
    </row>
    <row r="79" spans="2:7" ht="16.5" customHeight="1">
      <c r="B79" s="206" t="s">
        <v>498</v>
      </c>
      <c r="C79" s="46" t="s">
        <v>650</v>
      </c>
      <c r="D79" s="205" t="s">
        <v>627</v>
      </c>
      <c r="E79" s="39" t="s">
        <v>3</v>
      </c>
      <c r="F79" s="44">
        <v>2</v>
      </c>
      <c r="G79" s="66">
        <v>2</v>
      </c>
    </row>
    <row r="80" spans="2:7" ht="16.5" customHeight="1">
      <c r="B80" s="206" t="s">
        <v>535</v>
      </c>
      <c r="C80" s="46" t="s">
        <v>651</v>
      </c>
      <c r="D80" s="205" t="s">
        <v>628</v>
      </c>
      <c r="E80" s="39" t="s">
        <v>3</v>
      </c>
      <c r="F80" s="44">
        <v>2</v>
      </c>
      <c r="G80" s="66">
        <v>2</v>
      </c>
    </row>
    <row r="81" spans="2:7" ht="16.5" customHeight="1">
      <c r="B81" s="206" t="s">
        <v>499</v>
      </c>
      <c r="C81" s="46" t="s">
        <v>652</v>
      </c>
      <c r="D81" s="205" t="s">
        <v>629</v>
      </c>
      <c r="E81" s="39" t="s">
        <v>3</v>
      </c>
      <c r="F81" s="44">
        <v>2</v>
      </c>
      <c r="G81" s="66">
        <v>2</v>
      </c>
    </row>
    <row r="82" spans="2:7" ht="16.5" customHeight="1">
      <c r="B82" s="206" t="s">
        <v>500</v>
      </c>
      <c r="C82" s="46" t="s">
        <v>653</v>
      </c>
      <c r="D82" s="205" t="s">
        <v>630</v>
      </c>
      <c r="E82" s="39" t="s">
        <v>4</v>
      </c>
      <c r="F82" s="44">
        <v>1</v>
      </c>
      <c r="G82" s="66">
        <v>1</v>
      </c>
    </row>
    <row r="83" spans="2:7" ht="16.5" customHeight="1">
      <c r="B83" s="206" t="s">
        <v>501</v>
      </c>
      <c r="C83" s="46" t="s">
        <v>654</v>
      </c>
      <c r="D83" s="205" t="s">
        <v>631</v>
      </c>
      <c r="E83" s="39" t="s">
        <v>3</v>
      </c>
      <c r="F83" s="44">
        <v>6</v>
      </c>
      <c r="G83" s="66">
        <v>6</v>
      </c>
    </row>
    <row r="84" spans="2:7" ht="16.5" customHeight="1">
      <c r="B84" s="206" t="s">
        <v>502</v>
      </c>
      <c r="C84" s="46" t="s">
        <v>655</v>
      </c>
      <c r="D84" s="205" t="s">
        <v>632</v>
      </c>
      <c r="E84" s="39" t="s">
        <v>4</v>
      </c>
      <c r="F84" s="44">
        <v>1</v>
      </c>
      <c r="G84" s="66">
        <v>1</v>
      </c>
    </row>
    <row r="85" spans="2:7" ht="16.5" customHeight="1">
      <c r="B85" s="206" t="s">
        <v>503</v>
      </c>
      <c r="C85" s="46" t="s">
        <v>656</v>
      </c>
      <c r="D85" s="205" t="s">
        <v>633</v>
      </c>
      <c r="E85" s="39" t="s">
        <v>3</v>
      </c>
      <c r="F85" s="44">
        <v>6</v>
      </c>
      <c r="G85" s="66">
        <v>6</v>
      </c>
    </row>
    <row r="86" spans="2:7" ht="16.5" customHeight="1">
      <c r="B86" s="206" t="s">
        <v>504</v>
      </c>
      <c r="C86" s="46" t="s">
        <v>666</v>
      </c>
      <c r="D86" s="205" t="s">
        <v>634</v>
      </c>
      <c r="E86" s="39" t="s">
        <v>4</v>
      </c>
      <c r="F86" s="44">
        <v>1</v>
      </c>
      <c r="G86" s="66">
        <v>1</v>
      </c>
    </row>
    <row r="87" spans="2:7" ht="16.5" customHeight="1">
      <c r="B87" s="206" t="s">
        <v>505</v>
      </c>
      <c r="C87" s="46" t="s">
        <v>665</v>
      </c>
      <c r="D87" s="205" t="s">
        <v>635</v>
      </c>
      <c r="E87" s="39" t="s">
        <v>3</v>
      </c>
      <c r="F87" s="44">
        <v>9</v>
      </c>
      <c r="G87" s="66">
        <v>9</v>
      </c>
    </row>
    <row r="88" spans="2:7" ht="16.5" customHeight="1">
      <c r="B88" s="206" t="s">
        <v>506</v>
      </c>
      <c r="C88" s="46" t="s">
        <v>664</v>
      </c>
      <c r="D88" s="205" t="s">
        <v>636</v>
      </c>
      <c r="E88" s="39" t="s">
        <v>3</v>
      </c>
      <c r="F88" s="44">
        <v>5</v>
      </c>
      <c r="G88" s="66">
        <v>5</v>
      </c>
    </row>
    <row r="89" spans="2:7" ht="16.5" customHeight="1">
      <c r="B89" s="206" t="s">
        <v>507</v>
      </c>
      <c r="C89" s="46" t="s">
        <v>663</v>
      </c>
      <c r="D89" s="205" t="s">
        <v>637</v>
      </c>
      <c r="E89" s="39" t="s">
        <v>3</v>
      </c>
      <c r="F89" s="44">
        <v>12</v>
      </c>
      <c r="G89" s="66">
        <v>12</v>
      </c>
    </row>
    <row r="90" spans="2:7" ht="16.5" customHeight="1">
      <c r="B90" s="206" t="s">
        <v>508</v>
      </c>
      <c r="C90" s="46" t="s">
        <v>662</v>
      </c>
      <c r="D90" s="205" t="s">
        <v>638</v>
      </c>
      <c r="E90" s="39" t="s">
        <v>4</v>
      </c>
      <c r="F90" s="44">
        <v>1</v>
      </c>
      <c r="G90" s="66">
        <v>1</v>
      </c>
    </row>
    <row r="91" spans="2:7" ht="16.5" customHeight="1">
      <c r="B91" s="206" t="s">
        <v>509</v>
      </c>
      <c r="C91" s="46" t="s">
        <v>661</v>
      </c>
      <c r="D91" s="205" t="s">
        <v>639</v>
      </c>
      <c r="E91" s="39" t="s">
        <v>3</v>
      </c>
      <c r="F91" s="44">
        <v>61</v>
      </c>
      <c r="G91" s="66">
        <v>61</v>
      </c>
    </row>
    <row r="92" spans="2:7" ht="16.5" customHeight="1">
      <c r="B92" s="206" t="s">
        <v>510</v>
      </c>
      <c r="C92" s="46" t="s">
        <v>660</v>
      </c>
      <c r="D92" s="205" t="s">
        <v>640</v>
      </c>
      <c r="E92" s="39" t="s">
        <v>3</v>
      </c>
      <c r="F92" s="44">
        <v>2</v>
      </c>
      <c r="G92" s="66">
        <v>2</v>
      </c>
    </row>
    <row r="93" spans="2:7" ht="16.5" customHeight="1">
      <c r="B93" s="206" t="s">
        <v>511</v>
      </c>
      <c r="C93" s="46" t="s">
        <v>659</v>
      </c>
      <c r="D93" s="205" t="s">
        <v>641</v>
      </c>
      <c r="E93" s="39" t="s">
        <v>3</v>
      </c>
      <c r="F93" s="44">
        <v>2</v>
      </c>
      <c r="G93" s="66">
        <v>2</v>
      </c>
    </row>
    <row r="94" spans="2:7" ht="16.5" customHeight="1">
      <c r="B94" s="206" t="s">
        <v>512</v>
      </c>
      <c r="C94" s="46" t="s">
        <v>658</v>
      </c>
      <c r="D94" s="205" t="s">
        <v>642</v>
      </c>
      <c r="E94" s="39" t="s">
        <v>4</v>
      </c>
      <c r="F94" s="44">
        <v>1</v>
      </c>
      <c r="G94" s="66">
        <v>1</v>
      </c>
    </row>
    <row r="95" spans="2:7" ht="16.5" customHeight="1">
      <c r="B95" s="206" t="s">
        <v>513</v>
      </c>
      <c r="C95" s="46" t="s">
        <v>657</v>
      </c>
      <c r="D95" s="205" t="s">
        <v>643</v>
      </c>
      <c r="E95" s="39" t="s">
        <v>4</v>
      </c>
      <c r="F95" s="44">
        <v>1</v>
      </c>
      <c r="G95" s="66">
        <v>1</v>
      </c>
    </row>
    <row r="96" spans="2:7" ht="33.75" customHeight="1">
      <c r="B96" s="39">
        <v>47</v>
      </c>
      <c r="C96" s="39" t="s">
        <v>668</v>
      </c>
      <c r="D96" s="207" t="s">
        <v>669</v>
      </c>
      <c r="E96" s="39" t="s">
        <v>3</v>
      </c>
      <c r="F96" s="37">
        <v>0</v>
      </c>
      <c r="G96" s="134">
        <v>2</v>
      </c>
    </row>
    <row r="97" spans="2:7" ht="16.5" customHeight="1">
      <c r="B97" s="39"/>
      <c r="C97" s="368" t="s">
        <v>799</v>
      </c>
      <c r="D97" s="46" t="s">
        <v>786</v>
      </c>
      <c r="E97" s="39"/>
      <c r="F97" s="115"/>
      <c r="G97" s="202">
        <v>2</v>
      </c>
    </row>
    <row r="98" spans="2:7" ht="16.5" customHeight="1">
      <c r="B98" s="39"/>
      <c r="C98" s="369"/>
      <c r="D98" s="46" t="s">
        <v>787</v>
      </c>
      <c r="E98" s="39"/>
      <c r="F98" s="115"/>
      <c r="G98" s="202">
        <v>2</v>
      </c>
    </row>
    <row r="99" spans="2:7" ht="16.5" customHeight="1">
      <c r="B99" s="39"/>
      <c r="C99" s="369"/>
      <c r="D99" s="46" t="s">
        <v>788</v>
      </c>
      <c r="E99" s="39"/>
      <c r="F99" s="115"/>
      <c r="G99" s="202">
        <v>2</v>
      </c>
    </row>
    <row r="100" spans="2:7" ht="16.5" customHeight="1">
      <c r="B100" s="39"/>
      <c r="C100" s="369"/>
      <c r="D100" s="46" t="s">
        <v>789</v>
      </c>
      <c r="E100" s="39"/>
      <c r="F100" s="115"/>
      <c r="G100" s="202">
        <v>2</v>
      </c>
    </row>
    <row r="101" spans="2:7" ht="16.5" customHeight="1">
      <c r="B101" s="39"/>
      <c r="C101" s="369"/>
      <c r="D101" s="46" t="s">
        <v>790</v>
      </c>
      <c r="E101" s="39"/>
      <c r="F101" s="115"/>
      <c r="G101" s="202">
        <v>4</v>
      </c>
    </row>
    <row r="102" spans="2:7" ht="16.5" customHeight="1">
      <c r="B102" s="39"/>
      <c r="C102" s="369"/>
      <c r="D102" s="46" t="s">
        <v>791</v>
      </c>
      <c r="E102" s="39"/>
      <c r="F102" s="115"/>
      <c r="G102" s="202">
        <v>2</v>
      </c>
    </row>
    <row r="103" spans="2:7" ht="31.5" customHeight="1">
      <c r="B103" s="39"/>
      <c r="C103" s="369"/>
      <c r="D103" s="252" t="s">
        <v>792</v>
      </c>
      <c r="E103" s="39"/>
      <c r="F103" s="115"/>
      <c r="G103" s="202" t="s">
        <v>798</v>
      </c>
    </row>
    <row r="104" spans="2:7" ht="16.5" customHeight="1">
      <c r="B104" s="39"/>
      <c r="C104" s="369"/>
      <c r="D104" s="46" t="s">
        <v>793</v>
      </c>
      <c r="E104" s="39"/>
      <c r="F104" s="115"/>
      <c r="G104" s="202">
        <v>1</v>
      </c>
    </row>
    <row r="105" spans="2:7" ht="16.5" customHeight="1">
      <c r="B105" s="39"/>
      <c r="C105" s="369"/>
      <c r="D105" s="46" t="s">
        <v>794</v>
      </c>
      <c r="E105" s="39"/>
      <c r="F105" s="115"/>
      <c r="G105" s="202">
        <v>1</v>
      </c>
    </row>
    <row r="106" spans="2:7" ht="16.5" customHeight="1">
      <c r="B106" s="162"/>
      <c r="C106" s="369"/>
      <c r="D106" s="254" t="s">
        <v>795</v>
      </c>
      <c r="E106" s="162"/>
      <c r="F106" s="255"/>
      <c r="G106" s="202">
        <v>2</v>
      </c>
    </row>
    <row r="107" spans="2:7" ht="16.5" customHeight="1">
      <c r="B107" s="39"/>
      <c r="C107" s="369"/>
      <c r="D107" s="253" t="s">
        <v>796</v>
      </c>
      <c r="E107" s="39"/>
      <c r="F107" s="115"/>
      <c r="G107" s="202">
        <v>1</v>
      </c>
    </row>
    <row r="108" spans="2:7" ht="16.5" customHeight="1">
      <c r="B108" s="39"/>
      <c r="C108" s="370"/>
      <c r="D108" s="253" t="s">
        <v>797</v>
      </c>
      <c r="E108" s="39"/>
      <c r="F108" s="115"/>
      <c r="G108" s="202">
        <v>2</v>
      </c>
    </row>
    <row r="109" spans="2:7" ht="16.5" customHeight="1">
      <c r="D109" s="269" t="s">
        <v>832</v>
      </c>
      <c r="G109" s="270">
        <v>1</v>
      </c>
    </row>
  </sheetData>
  <mergeCells count="9">
    <mergeCell ref="E2:E3"/>
    <mergeCell ref="F2:F3"/>
    <mergeCell ref="G2:G3"/>
    <mergeCell ref="C97:C108"/>
    <mergeCell ref="A1:F1"/>
    <mergeCell ref="A2:A3"/>
    <mergeCell ref="B2:B3"/>
    <mergeCell ref="C2:C3"/>
    <mergeCell ref="D2:D3"/>
  </mergeCells>
  <phoneticPr fontId="23" type="noConversion"/>
  <pageMargins left="0.7" right="0.7" top="0.75" bottom="0.75" header="0.3" footer="0.3"/>
  <pageSetup paperSize="9" orientation="portrait" verticalDpi="300" r:id="rId1"/>
  <rowBreaks count="2" manualBreakCount="2">
    <brk id="72" max="16383" man="1"/>
    <brk id="9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45"/>
  <sheetViews>
    <sheetView topLeftCell="B1" zoomScaleNormal="100" workbookViewId="0">
      <pane ySplit="3" topLeftCell="A21" activePane="bottomLeft" state="frozen"/>
      <selection pane="bottomLeft" activeCell="E4" sqref="E4:E45"/>
    </sheetView>
  </sheetViews>
  <sheetFormatPr defaultRowHeight="15"/>
  <cols>
    <col min="1" max="1" width="0" style="1" hidden="1" customWidth="1"/>
    <col min="2" max="2" width="6" style="2" customWidth="1"/>
    <col min="3" max="3" width="15.7109375" hidden="1" customWidth="1"/>
    <col min="4" max="4" width="13.140625" style="2" customWidth="1"/>
    <col min="5" max="5" width="35.7109375" bestFit="1" customWidth="1"/>
    <col min="6" max="6" width="39.7109375" customWidth="1"/>
    <col min="7" max="7" width="5.85546875" bestFit="1" customWidth="1"/>
    <col min="8" max="8" width="11.85546875" bestFit="1" customWidth="1"/>
    <col min="9" max="9" width="8.85546875" bestFit="1" customWidth="1"/>
    <col min="10" max="10" width="17.7109375" customWidth="1"/>
    <col min="11" max="11" width="16.85546875" bestFit="1" customWidth="1"/>
    <col min="12" max="12" width="20.5703125" customWidth="1"/>
  </cols>
  <sheetData>
    <row r="1" spans="1:12" ht="27">
      <c r="A1" s="374" t="s">
        <v>593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</row>
    <row r="2" spans="1:12" s="3" customFormat="1" ht="36.75" customHeight="1">
      <c r="A2" s="371" t="s">
        <v>557</v>
      </c>
      <c r="B2" s="375" t="s">
        <v>256</v>
      </c>
      <c r="C2" s="187" t="s">
        <v>6</v>
      </c>
      <c r="D2" s="376" t="s">
        <v>20</v>
      </c>
      <c r="E2" s="187" t="s">
        <v>295</v>
      </c>
      <c r="F2" s="376" t="s">
        <v>1</v>
      </c>
      <c r="G2" s="376" t="s">
        <v>2</v>
      </c>
      <c r="H2" s="187" t="s">
        <v>5</v>
      </c>
      <c r="I2" s="383" t="s">
        <v>440</v>
      </c>
      <c r="J2" s="377" t="s">
        <v>689</v>
      </c>
      <c r="K2" s="378" t="s">
        <v>445</v>
      </c>
      <c r="L2" s="294" t="s">
        <v>764</v>
      </c>
    </row>
    <row r="3" spans="1:12" s="3" customFormat="1" ht="19.5" customHeight="1">
      <c r="A3" s="371"/>
      <c r="B3" s="375"/>
      <c r="C3" s="187"/>
      <c r="D3" s="376"/>
      <c r="E3" s="187"/>
      <c r="F3" s="376"/>
      <c r="G3" s="376"/>
      <c r="H3" s="187" t="s">
        <v>529</v>
      </c>
      <c r="I3" s="384"/>
      <c r="J3" s="377"/>
      <c r="K3" s="379"/>
      <c r="L3" s="294"/>
    </row>
    <row r="4" spans="1:12" ht="15" customHeight="1">
      <c r="B4" s="125">
        <v>1</v>
      </c>
      <c r="C4" s="380">
        <v>43802</v>
      </c>
      <c r="D4" s="13" t="s">
        <v>294</v>
      </c>
      <c r="E4" s="1" t="s">
        <v>335</v>
      </c>
      <c r="F4" s="1" t="s">
        <v>268</v>
      </c>
      <c r="G4" s="13" t="s">
        <v>4</v>
      </c>
      <c r="H4" s="13">
        <v>1</v>
      </c>
      <c r="I4" s="13">
        <v>0</v>
      </c>
      <c r="J4" s="100">
        <f t="shared" ref="J4:J44" si="0">H4-I4</f>
        <v>1</v>
      </c>
      <c r="K4" s="13">
        <v>0</v>
      </c>
      <c r="L4" s="1"/>
    </row>
    <row r="5" spans="1:12">
      <c r="B5" s="381">
        <v>2</v>
      </c>
      <c r="C5" s="313"/>
      <c r="D5" s="320" t="s">
        <v>296</v>
      </c>
      <c r="E5" s="1" t="s">
        <v>375</v>
      </c>
      <c r="F5" s="1" t="s">
        <v>275</v>
      </c>
      <c r="G5" s="13" t="s">
        <v>3</v>
      </c>
      <c r="H5" s="13">
        <v>24</v>
      </c>
      <c r="I5" s="13">
        <v>0</v>
      </c>
      <c r="J5" s="100">
        <f t="shared" si="0"/>
        <v>24</v>
      </c>
      <c r="K5" s="13">
        <v>0</v>
      </c>
      <c r="L5" s="1"/>
    </row>
    <row r="6" spans="1:12">
      <c r="B6" s="382"/>
      <c r="C6" s="313"/>
      <c r="D6" s="314"/>
      <c r="E6" s="1" t="s">
        <v>376</v>
      </c>
      <c r="F6" s="1" t="s">
        <v>275</v>
      </c>
      <c r="G6" s="13" t="s">
        <v>4</v>
      </c>
      <c r="H6" s="13">
        <v>1</v>
      </c>
      <c r="I6" s="13">
        <v>0</v>
      </c>
      <c r="J6" s="100">
        <f t="shared" si="0"/>
        <v>1</v>
      </c>
      <c r="K6" s="13">
        <v>0</v>
      </c>
      <c r="L6" s="1"/>
    </row>
    <row r="7" spans="1:12">
      <c r="B7" s="125">
        <v>3</v>
      </c>
      <c r="C7" s="313"/>
      <c r="D7" s="13" t="s">
        <v>298</v>
      </c>
      <c r="E7" s="1" t="s">
        <v>336</v>
      </c>
      <c r="F7" s="1" t="s">
        <v>276</v>
      </c>
      <c r="G7" s="13" t="s">
        <v>4</v>
      </c>
      <c r="H7" s="13">
        <v>1</v>
      </c>
      <c r="I7" s="13">
        <v>0</v>
      </c>
      <c r="J7" s="100">
        <f t="shared" si="0"/>
        <v>1</v>
      </c>
      <c r="K7" s="13">
        <v>0</v>
      </c>
      <c r="L7" s="1"/>
    </row>
    <row r="8" spans="1:12">
      <c r="B8" s="125">
        <v>4</v>
      </c>
      <c r="C8" s="313"/>
      <c r="D8" s="13" t="s">
        <v>297</v>
      </c>
      <c r="E8" s="1" t="s">
        <v>337</v>
      </c>
      <c r="F8" s="1" t="s">
        <v>276</v>
      </c>
      <c r="G8" s="13" t="s">
        <v>4</v>
      </c>
      <c r="H8" s="13">
        <v>1</v>
      </c>
      <c r="I8" s="13">
        <v>0</v>
      </c>
      <c r="J8" s="100">
        <f t="shared" si="0"/>
        <v>1</v>
      </c>
      <c r="K8" s="13">
        <v>0</v>
      </c>
      <c r="L8" s="1"/>
    </row>
    <row r="9" spans="1:12">
      <c r="B9" s="125">
        <v>5</v>
      </c>
      <c r="C9" s="313"/>
      <c r="D9" s="13" t="s">
        <v>300</v>
      </c>
      <c r="E9" s="1" t="s">
        <v>338</v>
      </c>
      <c r="F9" s="1" t="s">
        <v>276</v>
      </c>
      <c r="G9" s="13" t="s">
        <v>4</v>
      </c>
      <c r="H9" s="13">
        <v>1</v>
      </c>
      <c r="I9" s="13">
        <v>0</v>
      </c>
      <c r="J9" s="100">
        <f t="shared" si="0"/>
        <v>1</v>
      </c>
      <c r="K9" s="13">
        <v>0</v>
      </c>
      <c r="L9" s="1"/>
    </row>
    <row r="10" spans="1:12">
      <c r="B10" s="125">
        <v>6</v>
      </c>
      <c r="C10" s="313"/>
      <c r="D10" s="13" t="s">
        <v>299</v>
      </c>
      <c r="E10" s="1" t="s">
        <v>339</v>
      </c>
      <c r="F10" s="1" t="s">
        <v>276</v>
      </c>
      <c r="G10" s="13" t="s">
        <v>4</v>
      </c>
      <c r="H10" s="13">
        <v>1</v>
      </c>
      <c r="I10" s="13">
        <v>0</v>
      </c>
      <c r="J10" s="100">
        <f t="shared" si="0"/>
        <v>1</v>
      </c>
      <c r="K10" s="13">
        <v>0</v>
      </c>
      <c r="L10" s="1"/>
    </row>
    <row r="11" spans="1:12">
      <c r="B11" s="125">
        <v>7</v>
      </c>
      <c r="C11" s="313"/>
      <c r="D11" s="13" t="s">
        <v>301</v>
      </c>
      <c r="E11" s="1" t="s">
        <v>340</v>
      </c>
      <c r="F11" s="1" t="s">
        <v>277</v>
      </c>
      <c r="G11" s="13" t="s">
        <v>4</v>
      </c>
      <c r="H11" s="13">
        <v>4</v>
      </c>
      <c r="I11" s="13">
        <v>0</v>
      </c>
      <c r="J11" s="100">
        <f t="shared" si="0"/>
        <v>4</v>
      </c>
      <c r="K11" s="13">
        <v>0</v>
      </c>
      <c r="L11" s="1"/>
    </row>
    <row r="12" spans="1:12">
      <c r="B12" s="125">
        <v>8</v>
      </c>
      <c r="C12" s="313"/>
      <c r="D12" s="13" t="s">
        <v>302</v>
      </c>
      <c r="E12" s="1" t="s">
        <v>341</v>
      </c>
      <c r="F12" s="1" t="s">
        <v>278</v>
      </c>
      <c r="G12" s="13" t="s">
        <v>4</v>
      </c>
      <c r="H12" s="13">
        <v>1</v>
      </c>
      <c r="I12" s="13">
        <v>0</v>
      </c>
      <c r="J12" s="100">
        <f t="shared" si="0"/>
        <v>1</v>
      </c>
      <c r="K12" s="13">
        <v>0</v>
      </c>
      <c r="L12" s="1"/>
    </row>
    <row r="13" spans="1:12">
      <c r="B13" s="125">
        <v>9</v>
      </c>
      <c r="C13" s="313"/>
      <c r="D13" s="13" t="s">
        <v>303</v>
      </c>
      <c r="E13" s="1" t="s">
        <v>342</v>
      </c>
      <c r="F13" s="1" t="s">
        <v>278</v>
      </c>
      <c r="G13" s="13" t="s">
        <v>4</v>
      </c>
      <c r="H13" s="13">
        <v>1</v>
      </c>
      <c r="I13" s="13">
        <v>0</v>
      </c>
      <c r="J13" s="100">
        <f t="shared" si="0"/>
        <v>1</v>
      </c>
      <c r="K13" s="13">
        <v>0</v>
      </c>
      <c r="L13" s="1"/>
    </row>
    <row r="14" spans="1:12">
      <c r="B14" s="125">
        <v>10</v>
      </c>
      <c r="C14" s="313"/>
      <c r="D14" s="13" t="s">
        <v>304</v>
      </c>
      <c r="E14" s="1" t="s">
        <v>343</v>
      </c>
      <c r="F14" s="1" t="s">
        <v>279</v>
      </c>
      <c r="G14" s="13" t="s">
        <v>4</v>
      </c>
      <c r="H14" s="13">
        <v>1</v>
      </c>
      <c r="I14" s="13">
        <v>0</v>
      </c>
      <c r="J14" s="100">
        <f t="shared" si="0"/>
        <v>1</v>
      </c>
      <c r="K14" s="13">
        <v>0</v>
      </c>
      <c r="L14" s="1"/>
    </row>
    <row r="15" spans="1:12">
      <c r="B15" s="125">
        <v>11</v>
      </c>
      <c r="C15" s="313"/>
      <c r="D15" s="13" t="s">
        <v>305</v>
      </c>
      <c r="E15" s="1" t="s">
        <v>344</v>
      </c>
      <c r="F15" s="1" t="s">
        <v>280</v>
      </c>
      <c r="G15" s="13" t="s">
        <v>4</v>
      </c>
      <c r="H15" s="13">
        <v>1</v>
      </c>
      <c r="I15" s="13">
        <v>0</v>
      </c>
      <c r="J15" s="100">
        <f t="shared" si="0"/>
        <v>1</v>
      </c>
      <c r="K15" s="13">
        <v>0</v>
      </c>
      <c r="L15" s="1"/>
    </row>
    <row r="16" spans="1:12">
      <c r="B16" s="125">
        <v>12</v>
      </c>
      <c r="C16" s="313"/>
      <c r="D16" s="13" t="s">
        <v>306</v>
      </c>
      <c r="E16" s="1" t="s">
        <v>345</v>
      </c>
      <c r="F16" s="1" t="s">
        <v>280</v>
      </c>
      <c r="G16" s="13" t="s">
        <v>3</v>
      </c>
      <c r="H16" s="13">
        <v>2</v>
      </c>
      <c r="I16" s="13">
        <v>0</v>
      </c>
      <c r="J16" s="100">
        <f t="shared" si="0"/>
        <v>2</v>
      </c>
      <c r="K16" s="13">
        <v>0</v>
      </c>
      <c r="L16" s="1"/>
    </row>
    <row r="17" spans="2:12">
      <c r="B17" s="125">
        <v>13</v>
      </c>
      <c r="C17" s="313"/>
      <c r="D17" s="13" t="s">
        <v>307</v>
      </c>
      <c r="E17" s="1" t="s">
        <v>346</v>
      </c>
      <c r="F17" s="1" t="s">
        <v>281</v>
      </c>
      <c r="G17" s="13" t="s">
        <v>4</v>
      </c>
      <c r="H17" s="13">
        <v>1</v>
      </c>
      <c r="I17" s="13">
        <v>0</v>
      </c>
      <c r="J17" s="100">
        <f t="shared" si="0"/>
        <v>1</v>
      </c>
      <c r="K17" s="13">
        <v>0</v>
      </c>
      <c r="L17" s="1"/>
    </row>
    <row r="18" spans="2:12">
      <c r="B18" s="125">
        <v>14</v>
      </c>
      <c r="C18" s="313"/>
      <c r="D18" s="13" t="s">
        <v>308</v>
      </c>
      <c r="E18" s="1" t="s">
        <v>347</v>
      </c>
      <c r="F18" s="1" t="s">
        <v>280</v>
      </c>
      <c r="G18" s="13" t="s">
        <v>3</v>
      </c>
      <c r="H18" s="13">
        <v>2</v>
      </c>
      <c r="I18" s="13">
        <v>0</v>
      </c>
      <c r="J18" s="100">
        <f t="shared" si="0"/>
        <v>2</v>
      </c>
      <c r="K18" s="13">
        <v>0</v>
      </c>
      <c r="L18" s="1"/>
    </row>
    <row r="19" spans="2:12">
      <c r="B19" s="125">
        <v>15</v>
      </c>
      <c r="C19" s="313"/>
      <c r="D19" s="13" t="s">
        <v>309</v>
      </c>
      <c r="E19" s="1" t="s">
        <v>348</v>
      </c>
      <c r="F19" s="1" t="s">
        <v>280</v>
      </c>
      <c r="G19" s="13" t="s">
        <v>3</v>
      </c>
      <c r="H19" s="13">
        <v>5</v>
      </c>
      <c r="I19" s="13">
        <v>0</v>
      </c>
      <c r="J19" s="100">
        <f t="shared" si="0"/>
        <v>5</v>
      </c>
      <c r="K19" s="13">
        <v>0</v>
      </c>
      <c r="L19" s="1"/>
    </row>
    <row r="20" spans="2:12">
      <c r="B20" s="125">
        <v>16</v>
      </c>
      <c r="C20" s="313"/>
      <c r="D20" s="13" t="s">
        <v>310</v>
      </c>
      <c r="E20" s="1" t="s">
        <v>349</v>
      </c>
      <c r="F20" s="1" t="s">
        <v>282</v>
      </c>
      <c r="G20" s="13" t="s">
        <v>3</v>
      </c>
      <c r="H20" s="13">
        <v>2</v>
      </c>
      <c r="I20" s="13">
        <v>0</v>
      </c>
      <c r="J20" s="100">
        <f t="shared" si="0"/>
        <v>2</v>
      </c>
      <c r="K20" s="13">
        <v>0</v>
      </c>
      <c r="L20" s="1"/>
    </row>
    <row r="21" spans="2:12">
      <c r="B21" s="125">
        <v>17</v>
      </c>
      <c r="C21" s="313"/>
      <c r="D21" s="13" t="s">
        <v>311</v>
      </c>
      <c r="E21" s="1" t="s">
        <v>350</v>
      </c>
      <c r="F21" s="1" t="s">
        <v>283</v>
      </c>
      <c r="G21" s="13" t="s">
        <v>4</v>
      </c>
      <c r="H21" s="13">
        <v>1</v>
      </c>
      <c r="I21" s="13">
        <v>0</v>
      </c>
      <c r="J21" s="100">
        <f t="shared" si="0"/>
        <v>1</v>
      </c>
      <c r="K21" s="13">
        <v>0</v>
      </c>
      <c r="L21" s="1"/>
    </row>
    <row r="22" spans="2:12">
      <c r="B22" s="125">
        <v>18</v>
      </c>
      <c r="C22" s="313"/>
      <c r="D22" s="13" t="s">
        <v>312</v>
      </c>
      <c r="E22" s="1" t="s">
        <v>351</v>
      </c>
      <c r="F22" s="1" t="s">
        <v>373</v>
      </c>
      <c r="G22" s="13" t="s">
        <v>3</v>
      </c>
      <c r="H22" s="13">
        <v>2</v>
      </c>
      <c r="I22" s="13">
        <v>0</v>
      </c>
      <c r="J22" s="100">
        <f t="shared" si="0"/>
        <v>2</v>
      </c>
      <c r="K22" s="13">
        <v>0</v>
      </c>
      <c r="L22" s="1"/>
    </row>
    <row r="23" spans="2:12">
      <c r="B23" s="125">
        <v>19</v>
      </c>
      <c r="C23" s="313"/>
      <c r="D23" s="13" t="s">
        <v>313</v>
      </c>
      <c r="E23" s="1" t="s">
        <v>352</v>
      </c>
      <c r="F23" s="1" t="s">
        <v>373</v>
      </c>
      <c r="G23" s="13" t="s">
        <v>3</v>
      </c>
      <c r="H23" s="13">
        <v>2</v>
      </c>
      <c r="I23" s="13">
        <v>0</v>
      </c>
      <c r="J23" s="76">
        <f t="shared" si="0"/>
        <v>2</v>
      </c>
      <c r="K23" s="13">
        <v>0</v>
      </c>
      <c r="L23" s="1"/>
    </row>
    <row r="24" spans="2:12">
      <c r="B24" s="125">
        <v>20</v>
      </c>
      <c r="C24" s="313"/>
      <c r="D24" s="13" t="s">
        <v>314</v>
      </c>
      <c r="E24" s="1" t="s">
        <v>353</v>
      </c>
      <c r="F24" s="1" t="s">
        <v>373</v>
      </c>
      <c r="G24" s="13" t="s">
        <v>3</v>
      </c>
      <c r="H24" s="13">
        <v>2</v>
      </c>
      <c r="I24" s="13">
        <v>0</v>
      </c>
      <c r="J24" s="76">
        <f t="shared" si="0"/>
        <v>2</v>
      </c>
      <c r="K24" s="13">
        <v>0</v>
      </c>
      <c r="L24" s="1"/>
    </row>
    <row r="25" spans="2:12">
      <c r="B25" s="125">
        <v>21</v>
      </c>
      <c r="C25" s="313"/>
      <c r="D25" s="13" t="s">
        <v>315</v>
      </c>
      <c r="E25" s="1" t="s">
        <v>354</v>
      </c>
      <c r="F25" s="1" t="s">
        <v>268</v>
      </c>
      <c r="G25" s="13" t="s">
        <v>3</v>
      </c>
      <c r="H25" s="13">
        <v>2</v>
      </c>
      <c r="I25" s="13">
        <v>0</v>
      </c>
      <c r="J25" s="76">
        <f t="shared" si="0"/>
        <v>2</v>
      </c>
      <c r="K25" s="13">
        <v>0</v>
      </c>
      <c r="L25" s="1"/>
    </row>
    <row r="26" spans="2:12">
      <c r="B26" s="125">
        <v>22</v>
      </c>
      <c r="C26" s="313"/>
      <c r="D26" s="13" t="s">
        <v>316</v>
      </c>
      <c r="E26" s="1" t="s">
        <v>355</v>
      </c>
      <c r="F26" s="1" t="s">
        <v>268</v>
      </c>
      <c r="G26" s="13" t="s">
        <v>4</v>
      </c>
      <c r="H26" s="13">
        <v>1</v>
      </c>
      <c r="I26" s="13">
        <v>0</v>
      </c>
      <c r="J26" s="76">
        <f t="shared" si="0"/>
        <v>1</v>
      </c>
      <c r="K26" s="13">
        <v>0</v>
      </c>
      <c r="L26" s="1"/>
    </row>
    <row r="27" spans="2:12">
      <c r="B27" s="125">
        <v>23</v>
      </c>
      <c r="C27" s="313"/>
      <c r="D27" s="13" t="s">
        <v>317</v>
      </c>
      <c r="E27" s="1" t="s">
        <v>356</v>
      </c>
      <c r="F27" s="1" t="s">
        <v>284</v>
      </c>
      <c r="G27" s="13" t="s">
        <v>4</v>
      </c>
      <c r="H27" s="13">
        <v>1</v>
      </c>
      <c r="I27" s="13">
        <v>0</v>
      </c>
      <c r="J27" s="76">
        <f t="shared" si="0"/>
        <v>1</v>
      </c>
      <c r="K27" s="13">
        <v>0</v>
      </c>
      <c r="L27" s="1"/>
    </row>
    <row r="28" spans="2:12">
      <c r="B28" s="125">
        <v>24</v>
      </c>
      <c r="C28" s="313"/>
      <c r="D28" s="13" t="s">
        <v>318</v>
      </c>
      <c r="E28" s="1" t="s">
        <v>357</v>
      </c>
      <c r="F28" s="1" t="s">
        <v>285</v>
      </c>
      <c r="G28" s="13" t="s">
        <v>3</v>
      </c>
      <c r="H28" s="13">
        <v>2</v>
      </c>
      <c r="I28" s="13">
        <v>0</v>
      </c>
      <c r="J28" s="76">
        <f t="shared" si="0"/>
        <v>2</v>
      </c>
      <c r="K28" s="13">
        <v>0</v>
      </c>
      <c r="L28" s="1"/>
    </row>
    <row r="29" spans="2:12">
      <c r="B29" s="125">
        <v>25</v>
      </c>
      <c r="C29" s="313"/>
      <c r="D29" s="13" t="s">
        <v>319</v>
      </c>
      <c r="E29" s="1" t="s">
        <v>358</v>
      </c>
      <c r="F29" s="1" t="s">
        <v>286</v>
      </c>
      <c r="G29" s="13" t="s">
        <v>3</v>
      </c>
      <c r="H29" s="13">
        <v>2</v>
      </c>
      <c r="I29" s="13">
        <v>0</v>
      </c>
      <c r="J29" s="76">
        <f t="shared" si="0"/>
        <v>2</v>
      </c>
      <c r="K29" s="13">
        <v>0</v>
      </c>
      <c r="L29" s="1"/>
    </row>
    <row r="30" spans="2:12">
      <c r="B30" s="125">
        <v>26</v>
      </c>
      <c r="C30" s="313"/>
      <c r="D30" s="13" t="s">
        <v>320</v>
      </c>
      <c r="E30" s="1" t="s">
        <v>360</v>
      </c>
      <c r="F30" s="1" t="s">
        <v>287</v>
      </c>
      <c r="G30" s="13" t="s">
        <v>3</v>
      </c>
      <c r="H30" s="13">
        <v>7</v>
      </c>
      <c r="I30" s="13">
        <v>0</v>
      </c>
      <c r="J30" s="76">
        <f t="shared" si="0"/>
        <v>7</v>
      </c>
      <c r="K30" s="13">
        <v>0</v>
      </c>
      <c r="L30" s="1"/>
    </row>
    <row r="31" spans="2:12">
      <c r="B31" s="125">
        <v>27</v>
      </c>
      <c r="C31" s="313"/>
      <c r="D31" s="13" t="s">
        <v>321</v>
      </c>
      <c r="E31" s="1" t="s">
        <v>359</v>
      </c>
      <c r="F31" s="1" t="s">
        <v>287</v>
      </c>
      <c r="G31" s="13" t="s">
        <v>3</v>
      </c>
      <c r="H31" s="13">
        <v>3</v>
      </c>
      <c r="I31" s="13">
        <v>0</v>
      </c>
      <c r="J31" s="76">
        <f t="shared" si="0"/>
        <v>3</v>
      </c>
      <c r="K31" s="13">
        <v>0</v>
      </c>
      <c r="L31" s="1"/>
    </row>
    <row r="32" spans="2:12">
      <c r="B32" s="125">
        <v>28</v>
      </c>
      <c r="C32" s="313"/>
      <c r="D32" s="13" t="s">
        <v>322</v>
      </c>
      <c r="E32" s="1" t="s">
        <v>361</v>
      </c>
      <c r="F32" s="1" t="s">
        <v>374</v>
      </c>
      <c r="G32" s="13" t="s">
        <v>3</v>
      </c>
      <c r="H32" s="13">
        <v>2</v>
      </c>
      <c r="I32" s="13">
        <v>0</v>
      </c>
      <c r="J32" s="76">
        <f t="shared" si="0"/>
        <v>2</v>
      </c>
      <c r="K32" s="13">
        <v>0</v>
      </c>
      <c r="L32" s="1"/>
    </row>
    <row r="33" spans="2:12">
      <c r="B33" s="125">
        <v>29</v>
      </c>
      <c r="C33" s="313"/>
      <c r="D33" s="13" t="s">
        <v>323</v>
      </c>
      <c r="E33" s="1" t="s">
        <v>362</v>
      </c>
      <c r="F33" s="1" t="s">
        <v>288</v>
      </c>
      <c r="G33" s="13" t="s">
        <v>3</v>
      </c>
      <c r="H33" s="13">
        <v>6</v>
      </c>
      <c r="I33" s="13">
        <v>0</v>
      </c>
      <c r="J33" s="76">
        <f t="shared" si="0"/>
        <v>6</v>
      </c>
      <c r="K33" s="13">
        <v>0</v>
      </c>
      <c r="L33" s="1"/>
    </row>
    <row r="34" spans="2:12">
      <c r="B34" s="125">
        <v>30</v>
      </c>
      <c r="C34" s="313"/>
      <c r="D34" s="13" t="s">
        <v>324</v>
      </c>
      <c r="E34" s="1" t="s">
        <v>363</v>
      </c>
      <c r="F34" s="1" t="s">
        <v>288</v>
      </c>
      <c r="G34" s="13" t="s">
        <v>3</v>
      </c>
      <c r="H34" s="13">
        <v>4</v>
      </c>
      <c r="I34" s="13">
        <v>0</v>
      </c>
      <c r="J34" s="76">
        <f t="shared" si="0"/>
        <v>4</v>
      </c>
      <c r="K34" s="13">
        <v>0</v>
      </c>
      <c r="L34" s="1"/>
    </row>
    <row r="35" spans="2:12">
      <c r="B35" s="125">
        <v>31</v>
      </c>
      <c r="C35" s="313"/>
      <c r="D35" s="13" t="s">
        <v>325</v>
      </c>
      <c r="E35" s="1" t="s">
        <v>364</v>
      </c>
      <c r="F35" s="1" t="s">
        <v>268</v>
      </c>
      <c r="G35" s="13" t="s">
        <v>4</v>
      </c>
      <c r="H35" s="13">
        <v>1</v>
      </c>
      <c r="I35" s="13">
        <v>0</v>
      </c>
      <c r="J35" s="76">
        <f t="shared" si="0"/>
        <v>1</v>
      </c>
      <c r="K35" s="13">
        <v>0</v>
      </c>
      <c r="L35" s="1"/>
    </row>
    <row r="36" spans="2:12">
      <c r="B36" s="125">
        <v>32</v>
      </c>
      <c r="C36" s="313"/>
      <c r="D36" s="13" t="s">
        <v>326</v>
      </c>
      <c r="E36" s="1" t="s">
        <v>50</v>
      </c>
      <c r="F36" s="1" t="s">
        <v>276</v>
      </c>
      <c r="G36" s="13" t="s">
        <v>3</v>
      </c>
      <c r="H36" s="13">
        <v>50</v>
      </c>
      <c r="I36" s="13">
        <v>0</v>
      </c>
      <c r="J36" s="76">
        <f t="shared" si="0"/>
        <v>50</v>
      </c>
      <c r="K36" s="13">
        <v>0</v>
      </c>
      <c r="L36" s="1"/>
    </row>
    <row r="37" spans="2:12">
      <c r="B37" s="125">
        <v>33</v>
      </c>
      <c r="C37" s="313"/>
      <c r="D37" s="13" t="s">
        <v>327</v>
      </c>
      <c r="E37" s="1" t="s">
        <v>365</v>
      </c>
      <c r="F37" s="1" t="s">
        <v>276</v>
      </c>
      <c r="G37" s="13" t="s">
        <v>3</v>
      </c>
      <c r="H37" s="13">
        <v>40</v>
      </c>
      <c r="I37" s="13">
        <v>0</v>
      </c>
      <c r="J37" s="76">
        <f t="shared" si="0"/>
        <v>40</v>
      </c>
      <c r="K37" s="13">
        <v>0</v>
      </c>
      <c r="L37" s="1"/>
    </row>
    <row r="38" spans="2:12">
      <c r="B38" s="125">
        <v>34</v>
      </c>
      <c r="C38" s="313"/>
      <c r="D38" s="13" t="s">
        <v>328</v>
      </c>
      <c r="E38" s="1" t="s">
        <v>366</v>
      </c>
      <c r="F38" s="1" t="s">
        <v>289</v>
      </c>
      <c r="G38" s="13" t="s">
        <v>3</v>
      </c>
      <c r="H38" s="13">
        <v>15</v>
      </c>
      <c r="I38" s="13">
        <v>0</v>
      </c>
      <c r="J38" s="76">
        <f t="shared" si="0"/>
        <v>15</v>
      </c>
      <c r="K38" s="13">
        <v>0</v>
      </c>
      <c r="L38" s="1"/>
    </row>
    <row r="39" spans="2:12">
      <c r="B39" s="125">
        <v>35</v>
      </c>
      <c r="C39" s="313"/>
      <c r="D39" s="13" t="s">
        <v>329</v>
      </c>
      <c r="E39" s="1" t="s">
        <v>367</v>
      </c>
      <c r="F39" s="1" t="s">
        <v>290</v>
      </c>
      <c r="G39" s="13" t="s">
        <v>4</v>
      </c>
      <c r="H39" s="13">
        <v>1</v>
      </c>
      <c r="I39" s="13">
        <v>0</v>
      </c>
      <c r="J39" s="76">
        <f t="shared" si="0"/>
        <v>1</v>
      </c>
      <c r="K39" s="13">
        <v>0</v>
      </c>
      <c r="L39" s="1"/>
    </row>
    <row r="40" spans="2:12">
      <c r="B40" s="125">
        <v>36</v>
      </c>
      <c r="C40" s="313"/>
      <c r="D40" s="13" t="s">
        <v>330</v>
      </c>
      <c r="E40" s="1" t="s">
        <v>368</v>
      </c>
      <c r="F40" s="1" t="s">
        <v>291</v>
      </c>
      <c r="G40" s="13" t="s">
        <v>3</v>
      </c>
      <c r="H40" s="13">
        <v>3</v>
      </c>
      <c r="I40" s="13">
        <v>0</v>
      </c>
      <c r="J40" s="76">
        <f t="shared" si="0"/>
        <v>3</v>
      </c>
      <c r="K40" s="13">
        <v>0</v>
      </c>
      <c r="L40" s="1"/>
    </row>
    <row r="41" spans="2:12">
      <c r="B41" s="125">
        <v>37</v>
      </c>
      <c r="C41" s="313"/>
      <c r="D41" s="13" t="s">
        <v>331</v>
      </c>
      <c r="E41" s="1" t="s">
        <v>369</v>
      </c>
      <c r="F41" s="1" t="s">
        <v>292</v>
      </c>
      <c r="G41" s="13" t="s">
        <v>4</v>
      </c>
      <c r="H41" s="13">
        <v>1</v>
      </c>
      <c r="I41" s="13">
        <v>0</v>
      </c>
      <c r="J41" s="76">
        <f t="shared" si="0"/>
        <v>1</v>
      </c>
      <c r="K41" s="13">
        <v>0</v>
      </c>
      <c r="L41" s="1"/>
    </row>
    <row r="42" spans="2:12">
      <c r="B42" s="125">
        <v>38</v>
      </c>
      <c r="C42" s="313"/>
      <c r="D42" s="13" t="s">
        <v>332</v>
      </c>
      <c r="E42" s="1" t="s">
        <v>370</v>
      </c>
      <c r="F42" s="1" t="s">
        <v>275</v>
      </c>
      <c r="G42" s="13" t="s">
        <v>3</v>
      </c>
      <c r="H42" s="13">
        <v>5</v>
      </c>
      <c r="I42" s="13">
        <v>0</v>
      </c>
      <c r="J42" s="76">
        <f t="shared" si="0"/>
        <v>5</v>
      </c>
      <c r="K42" s="13">
        <v>0</v>
      </c>
      <c r="L42" s="1"/>
    </row>
    <row r="43" spans="2:12">
      <c r="B43" s="125">
        <v>39</v>
      </c>
      <c r="C43" s="313"/>
      <c r="D43" s="13" t="s">
        <v>333</v>
      </c>
      <c r="E43" s="1" t="s">
        <v>371</v>
      </c>
      <c r="F43" s="1" t="s">
        <v>277</v>
      </c>
      <c r="G43" s="13" t="s">
        <v>3</v>
      </c>
      <c r="H43" s="13">
        <v>2</v>
      </c>
      <c r="I43" s="13">
        <v>0</v>
      </c>
      <c r="J43" s="76">
        <f t="shared" si="0"/>
        <v>2</v>
      </c>
      <c r="K43" s="13">
        <v>0</v>
      </c>
      <c r="L43" s="1"/>
    </row>
    <row r="44" spans="2:12">
      <c r="B44" s="262">
        <v>40</v>
      </c>
      <c r="C44" s="313"/>
      <c r="D44" s="261" t="s">
        <v>334</v>
      </c>
      <c r="E44" s="38" t="s">
        <v>372</v>
      </c>
      <c r="F44" s="38" t="s">
        <v>293</v>
      </c>
      <c r="G44" s="261" t="s">
        <v>4</v>
      </c>
      <c r="H44" s="261">
        <v>1</v>
      </c>
      <c r="I44" s="261">
        <v>0</v>
      </c>
      <c r="J44" s="275">
        <f t="shared" si="0"/>
        <v>1</v>
      </c>
      <c r="K44" s="261">
        <v>0</v>
      </c>
      <c r="L44" s="1"/>
    </row>
    <row r="45" spans="2:12" ht="18.75">
      <c r="B45" s="100">
        <v>41</v>
      </c>
      <c r="C45" s="223"/>
      <c r="D45" s="100"/>
      <c r="E45" s="223"/>
      <c r="F45" s="272" t="s">
        <v>825</v>
      </c>
      <c r="G45" s="272" t="s">
        <v>3</v>
      </c>
      <c r="H45" s="272"/>
      <c r="I45" s="1"/>
      <c r="J45" s="1"/>
      <c r="K45" s="1"/>
      <c r="L45" s="264" t="s">
        <v>829</v>
      </c>
    </row>
  </sheetData>
  <mergeCells count="13">
    <mergeCell ref="C4:C44"/>
    <mergeCell ref="B5:B6"/>
    <mergeCell ref="D5:D6"/>
    <mergeCell ref="I2:I3"/>
    <mergeCell ref="L2:L3"/>
    <mergeCell ref="A2:A3"/>
    <mergeCell ref="A1:K1"/>
    <mergeCell ref="B2:B3"/>
    <mergeCell ref="D2:D3"/>
    <mergeCell ref="F2:F3"/>
    <mergeCell ref="G2:G3"/>
    <mergeCell ref="J2:J3"/>
    <mergeCell ref="K2:K3"/>
  </mergeCells>
  <phoneticPr fontId="23" type="noConversion"/>
  <pageMargins left="0.7" right="0.7" top="0.75" bottom="0.75" header="0.3" footer="0.3"/>
  <pageSetup scale="56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6"/>
  <sheetViews>
    <sheetView zoomScale="96" zoomScaleNormal="96" workbookViewId="0">
      <pane ySplit="4" topLeftCell="A8" activePane="bottomLeft" state="frozen"/>
      <selection pane="bottomLeft" sqref="A1:XFD1048576"/>
    </sheetView>
  </sheetViews>
  <sheetFormatPr defaultRowHeight="15"/>
  <cols>
    <col min="1" max="1" width="7.42578125" style="2" customWidth="1"/>
    <col min="2" max="2" width="19.7109375" customWidth="1"/>
    <col min="3" max="3" width="44.140625" customWidth="1"/>
    <col min="4" max="4" width="6.140625" customWidth="1"/>
    <col min="5" max="5" width="18.85546875" customWidth="1"/>
    <col min="6" max="6" width="21.140625" customWidth="1"/>
  </cols>
  <sheetData>
    <row r="2" spans="1:6" ht="25.5">
      <c r="A2" s="295" t="s">
        <v>808</v>
      </c>
      <c r="B2" s="296"/>
      <c r="C2" s="296"/>
      <c r="D2" s="296"/>
      <c r="E2" s="296"/>
      <c r="F2" s="296"/>
    </row>
    <row r="3" spans="1:6" ht="32.25" customHeight="1">
      <c r="A3" s="385" t="s">
        <v>0</v>
      </c>
      <c r="B3" s="386" t="s">
        <v>20</v>
      </c>
      <c r="C3" s="387" t="s">
        <v>1</v>
      </c>
      <c r="D3" s="388" t="s">
        <v>2</v>
      </c>
      <c r="E3" s="385" t="s">
        <v>870</v>
      </c>
      <c r="F3" s="294" t="s">
        <v>764</v>
      </c>
    </row>
    <row r="4" spans="1:6" ht="36" customHeight="1">
      <c r="A4" s="385"/>
      <c r="B4" s="386"/>
      <c r="C4" s="387"/>
      <c r="D4" s="388"/>
      <c r="E4" s="385"/>
      <c r="F4" s="294"/>
    </row>
    <row r="5" spans="1:6" ht="36" customHeight="1">
      <c r="A5" s="385" t="s">
        <v>852</v>
      </c>
      <c r="B5" s="385"/>
      <c r="C5" s="385"/>
      <c r="D5" s="385"/>
      <c r="E5" s="385"/>
      <c r="F5" s="385"/>
    </row>
    <row r="6" spans="1:6" s="33" customFormat="1" ht="15" customHeight="1">
      <c r="A6" s="39">
        <v>1</v>
      </c>
      <c r="B6" s="273" t="s">
        <v>834</v>
      </c>
      <c r="C6" s="211" t="s">
        <v>810</v>
      </c>
      <c r="D6" s="37" t="s">
        <v>4</v>
      </c>
      <c r="E6" s="131">
        <v>1</v>
      </c>
      <c r="F6" s="235"/>
    </row>
    <row r="7" spans="1:6" s="33" customFormat="1" ht="15" customHeight="1">
      <c r="A7" s="39">
        <v>2</v>
      </c>
      <c r="B7" s="273"/>
      <c r="C7" s="211" t="s">
        <v>833</v>
      </c>
      <c r="D7" s="37" t="s">
        <v>4</v>
      </c>
      <c r="E7" s="131">
        <v>1</v>
      </c>
      <c r="F7" s="235"/>
    </row>
    <row r="8" spans="1:6" s="33" customFormat="1" ht="15" customHeight="1">
      <c r="A8" s="39">
        <v>3</v>
      </c>
      <c r="B8" s="273" t="s">
        <v>836</v>
      </c>
      <c r="C8" s="211" t="s">
        <v>835</v>
      </c>
      <c r="D8" s="37" t="s">
        <v>4</v>
      </c>
      <c r="E8" s="131">
        <v>1</v>
      </c>
      <c r="F8" s="235">
        <v>2</v>
      </c>
    </row>
    <row r="9" spans="1:6" s="33" customFormat="1" ht="15" customHeight="1">
      <c r="A9" s="39">
        <v>4</v>
      </c>
      <c r="B9" s="273" t="s">
        <v>839</v>
      </c>
      <c r="C9" s="211" t="s">
        <v>837</v>
      </c>
      <c r="D9" s="37" t="s">
        <v>4</v>
      </c>
      <c r="E9" s="131">
        <v>1</v>
      </c>
      <c r="F9" s="235">
        <v>1</v>
      </c>
    </row>
    <row r="10" spans="1:6" s="33" customFormat="1" ht="15" customHeight="1">
      <c r="A10" s="39">
        <v>5</v>
      </c>
      <c r="B10" s="273" t="s">
        <v>840</v>
      </c>
      <c r="C10" s="211" t="s">
        <v>838</v>
      </c>
      <c r="D10" s="37" t="s">
        <v>4</v>
      </c>
      <c r="E10" s="131">
        <v>1</v>
      </c>
      <c r="F10" s="235">
        <v>1</v>
      </c>
    </row>
    <row r="11" spans="1:6" s="33" customFormat="1" ht="15" customHeight="1">
      <c r="A11" s="39">
        <v>6</v>
      </c>
      <c r="B11" s="273" t="s">
        <v>843</v>
      </c>
      <c r="C11" s="211" t="s">
        <v>841</v>
      </c>
      <c r="D11" s="37" t="s">
        <v>4</v>
      </c>
      <c r="E11" s="131">
        <v>1</v>
      </c>
      <c r="F11" s="235">
        <v>1</v>
      </c>
    </row>
    <row r="12" spans="1:6" s="33" customFormat="1" ht="15" customHeight="1">
      <c r="A12" s="39">
        <v>7</v>
      </c>
      <c r="B12" s="273" t="s">
        <v>844</v>
      </c>
      <c r="C12" s="211" t="s">
        <v>842</v>
      </c>
      <c r="D12" s="37" t="s">
        <v>4</v>
      </c>
      <c r="E12" s="131">
        <v>1</v>
      </c>
      <c r="F12" s="235">
        <v>1</v>
      </c>
    </row>
    <row r="13" spans="1:6" s="33" customFormat="1" ht="15" customHeight="1">
      <c r="A13" s="39">
        <v>8</v>
      </c>
      <c r="B13" s="273" t="s">
        <v>846</v>
      </c>
      <c r="C13" s="211" t="s">
        <v>845</v>
      </c>
      <c r="D13" s="37" t="s">
        <v>4</v>
      </c>
      <c r="E13" s="131"/>
      <c r="F13" s="235">
        <v>1</v>
      </c>
    </row>
    <row r="14" spans="1:6" s="33" customFormat="1" ht="15" customHeight="1">
      <c r="A14" s="385" t="s">
        <v>847</v>
      </c>
      <c r="B14" s="385"/>
      <c r="C14" s="385"/>
      <c r="D14" s="385"/>
      <c r="E14" s="385"/>
      <c r="F14" s="385"/>
    </row>
    <row r="15" spans="1:6" s="33" customFormat="1" ht="15" customHeight="1">
      <c r="A15" s="39">
        <v>1</v>
      </c>
      <c r="B15" s="273" t="s">
        <v>849</v>
      </c>
      <c r="C15" s="211" t="s">
        <v>848</v>
      </c>
      <c r="D15" s="37" t="s">
        <v>4</v>
      </c>
      <c r="E15" s="131">
        <v>1</v>
      </c>
      <c r="F15" s="235">
        <v>1</v>
      </c>
    </row>
    <row r="16" spans="1:6" s="33" customFormat="1" ht="15" customHeight="1">
      <c r="A16" s="39">
        <v>2</v>
      </c>
      <c r="B16" s="273" t="s">
        <v>850</v>
      </c>
      <c r="C16" s="211" t="s">
        <v>851</v>
      </c>
      <c r="D16" s="37" t="s">
        <v>4</v>
      </c>
      <c r="E16" s="131">
        <v>1</v>
      </c>
      <c r="F16" s="235">
        <v>1</v>
      </c>
    </row>
    <row r="17" spans="1:6" s="33" customFormat="1" ht="15" customHeight="1">
      <c r="A17" s="385" t="s">
        <v>853</v>
      </c>
      <c r="B17" s="385"/>
      <c r="C17" s="385"/>
      <c r="D17" s="385"/>
      <c r="E17" s="385"/>
      <c r="F17" s="385"/>
    </row>
    <row r="18" spans="1:6" s="33" customFormat="1" ht="15" customHeight="1">
      <c r="A18" s="39">
        <v>1</v>
      </c>
      <c r="B18" s="273"/>
      <c r="C18" s="211" t="s">
        <v>811</v>
      </c>
      <c r="D18" s="37" t="s">
        <v>4</v>
      </c>
      <c r="E18" s="131">
        <v>1</v>
      </c>
      <c r="F18" s="235">
        <v>1</v>
      </c>
    </row>
    <row r="19" spans="1:6" s="33" customFormat="1" ht="15" customHeight="1">
      <c r="A19" s="39">
        <v>2</v>
      </c>
      <c r="B19" s="273" t="s">
        <v>855</v>
      </c>
      <c r="C19" s="211" t="s">
        <v>854</v>
      </c>
      <c r="D19" s="37"/>
      <c r="E19" s="131">
        <v>1</v>
      </c>
      <c r="F19" s="235">
        <v>2</v>
      </c>
    </row>
    <row r="20" spans="1:6" s="33" customFormat="1" ht="15" customHeight="1">
      <c r="A20" s="39">
        <v>3</v>
      </c>
      <c r="B20" s="273" t="s">
        <v>856</v>
      </c>
      <c r="C20" s="211" t="s">
        <v>857</v>
      </c>
      <c r="D20" s="37"/>
      <c r="E20" s="131">
        <v>1</v>
      </c>
      <c r="F20" s="235">
        <v>1</v>
      </c>
    </row>
    <row r="21" spans="1:6" s="33" customFormat="1" ht="15" customHeight="1">
      <c r="A21" s="39">
        <v>4</v>
      </c>
      <c r="B21" s="273" t="s">
        <v>859</v>
      </c>
      <c r="C21" s="211" t="s">
        <v>858</v>
      </c>
      <c r="D21" s="37"/>
      <c r="E21" s="131">
        <v>1</v>
      </c>
      <c r="F21" s="235">
        <v>1</v>
      </c>
    </row>
    <row r="22" spans="1:6" s="33" customFormat="1" ht="15" customHeight="1">
      <c r="A22" s="39">
        <v>5</v>
      </c>
      <c r="B22" s="273" t="s">
        <v>860</v>
      </c>
      <c r="C22" s="211" t="s">
        <v>861</v>
      </c>
      <c r="D22" s="37"/>
      <c r="E22" s="131">
        <v>1</v>
      </c>
      <c r="F22" s="235">
        <v>2</v>
      </c>
    </row>
    <row r="23" spans="1:6" s="33" customFormat="1" ht="15" customHeight="1">
      <c r="A23" s="39">
        <v>6</v>
      </c>
      <c r="B23" s="273" t="s">
        <v>863</v>
      </c>
      <c r="C23" s="211" t="s">
        <v>862</v>
      </c>
      <c r="D23" s="37"/>
      <c r="E23" s="131">
        <v>1</v>
      </c>
      <c r="F23" s="235">
        <v>2</v>
      </c>
    </row>
    <row r="24" spans="1:6">
      <c r="A24" s="265">
        <v>7</v>
      </c>
      <c r="B24" s="242" t="s">
        <v>865</v>
      </c>
      <c r="C24" s="242" t="s">
        <v>864</v>
      </c>
      <c r="D24" s="242"/>
      <c r="E24" s="274">
        <v>1</v>
      </c>
      <c r="F24" s="235">
        <v>2</v>
      </c>
    </row>
    <row r="25" spans="1:6">
      <c r="A25" s="265">
        <v>8</v>
      </c>
      <c r="B25" s="1" t="s">
        <v>866</v>
      </c>
      <c r="C25" s="1" t="s">
        <v>867</v>
      </c>
      <c r="D25" s="1"/>
      <c r="E25" s="166">
        <v>1</v>
      </c>
      <c r="F25" s="166">
        <v>2</v>
      </c>
    </row>
    <row r="26" spans="1:6">
      <c r="A26" s="265">
        <v>9</v>
      </c>
      <c r="B26" s="1" t="s">
        <v>869</v>
      </c>
      <c r="C26" s="1" t="s">
        <v>868</v>
      </c>
      <c r="D26" s="1"/>
      <c r="E26" s="166">
        <v>1</v>
      </c>
      <c r="F26" s="166">
        <v>1</v>
      </c>
    </row>
  </sheetData>
  <mergeCells count="10">
    <mergeCell ref="A17:F17"/>
    <mergeCell ref="A14:F14"/>
    <mergeCell ref="A2:F2"/>
    <mergeCell ref="A3:A4"/>
    <mergeCell ref="B3:B4"/>
    <mergeCell ref="C3:C4"/>
    <mergeCell ref="D3:D4"/>
    <mergeCell ref="E3:E4"/>
    <mergeCell ref="F3:F4"/>
    <mergeCell ref="A5:F5"/>
  </mergeCells>
  <phoneticPr fontId="23" type="noConversion"/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13"/>
  <sheetViews>
    <sheetView zoomScale="96" zoomScaleNormal="96" workbookViewId="0">
      <pane ySplit="4" topLeftCell="A5" activePane="bottomLeft" state="frozen"/>
      <selection pane="bottomLeft" activeCell="E5" sqref="E5:E12"/>
    </sheetView>
  </sheetViews>
  <sheetFormatPr defaultRowHeight="15"/>
  <cols>
    <col min="1" max="1" width="7.42578125" style="2" customWidth="1"/>
    <col min="2" max="2" width="19.7109375" customWidth="1"/>
    <col min="3" max="3" width="44.140625" customWidth="1"/>
    <col min="4" max="4" width="6.140625" customWidth="1"/>
    <col min="5" max="5" width="18.85546875" customWidth="1"/>
    <col min="6" max="6" width="11.140625" customWidth="1"/>
    <col min="7" max="7" width="10.42578125" customWidth="1"/>
  </cols>
  <sheetData>
    <row r="2" spans="1:7" ht="25.5">
      <c r="A2" s="295" t="s">
        <v>808</v>
      </c>
      <c r="B2" s="296"/>
      <c r="C2" s="296"/>
      <c r="D2" s="296"/>
      <c r="E2" s="296"/>
      <c r="F2" s="296"/>
      <c r="G2" s="389"/>
    </row>
    <row r="3" spans="1:7" ht="32.25" customHeight="1">
      <c r="A3" s="298" t="s">
        <v>0</v>
      </c>
      <c r="B3" s="300" t="s">
        <v>20</v>
      </c>
      <c r="C3" s="302" t="s">
        <v>1</v>
      </c>
      <c r="D3" s="304" t="s">
        <v>2</v>
      </c>
      <c r="E3" s="298" t="s">
        <v>809</v>
      </c>
      <c r="F3" s="390" t="s">
        <v>764</v>
      </c>
      <c r="G3" s="391"/>
    </row>
    <row r="4" spans="1:7" ht="36" customHeight="1">
      <c r="A4" s="299"/>
      <c r="B4" s="301"/>
      <c r="C4" s="303"/>
      <c r="D4" s="305"/>
      <c r="E4" s="299"/>
      <c r="F4" s="392"/>
      <c r="G4" s="393"/>
    </row>
    <row r="5" spans="1:7" s="33" customFormat="1" ht="15" customHeight="1">
      <c r="A5" s="39">
        <v>1</v>
      </c>
      <c r="B5" s="396" t="s">
        <v>775</v>
      </c>
      <c r="C5" s="211" t="s">
        <v>812</v>
      </c>
      <c r="D5" s="37" t="s">
        <v>4</v>
      </c>
      <c r="E5" s="131">
        <v>6</v>
      </c>
      <c r="F5" s="394"/>
      <c r="G5" s="395"/>
    </row>
    <row r="6" spans="1:7" s="33" customFormat="1" ht="15" customHeight="1">
      <c r="A6" s="39">
        <v>2</v>
      </c>
      <c r="B6" s="397"/>
      <c r="C6" s="211" t="s">
        <v>813</v>
      </c>
      <c r="D6" s="37" t="s">
        <v>4</v>
      </c>
      <c r="E6" s="131">
        <v>6</v>
      </c>
      <c r="F6" s="394"/>
      <c r="G6" s="395"/>
    </row>
    <row r="7" spans="1:7" s="33" customFormat="1" ht="15" customHeight="1">
      <c r="A7" s="39">
        <v>3</v>
      </c>
      <c r="B7" s="397"/>
      <c r="C7" s="211" t="s">
        <v>814</v>
      </c>
      <c r="D7" s="37" t="s">
        <v>4</v>
      </c>
      <c r="E7" s="131">
        <v>1</v>
      </c>
      <c r="F7" s="394"/>
      <c r="G7" s="395"/>
    </row>
    <row r="8" spans="1:7" s="33" customFormat="1" ht="15" customHeight="1">
      <c r="A8" s="39">
        <v>4</v>
      </c>
      <c r="B8" s="397"/>
      <c r="C8" s="211" t="s">
        <v>815</v>
      </c>
      <c r="D8" s="37" t="s">
        <v>4</v>
      </c>
      <c r="E8" s="131">
        <v>2</v>
      </c>
      <c r="F8" s="394"/>
      <c r="G8" s="395"/>
    </row>
    <row r="9" spans="1:7" s="33" customFormat="1" ht="15" customHeight="1">
      <c r="A9" s="39">
        <v>5</v>
      </c>
      <c r="B9" s="397"/>
      <c r="C9" s="257" t="s">
        <v>776</v>
      </c>
      <c r="D9" s="37" t="s">
        <v>4</v>
      </c>
      <c r="E9" s="131">
        <v>4</v>
      </c>
      <c r="F9" s="394"/>
      <c r="G9" s="395"/>
    </row>
    <row r="10" spans="1:7" s="33" customFormat="1" ht="15" customHeight="1">
      <c r="A10" s="39">
        <v>6</v>
      </c>
      <c r="B10" s="397"/>
      <c r="C10" s="257" t="s">
        <v>816</v>
      </c>
      <c r="D10" s="37" t="s">
        <v>4</v>
      </c>
      <c r="E10" s="131">
        <v>2</v>
      </c>
      <c r="F10" s="394"/>
      <c r="G10" s="395"/>
    </row>
    <row r="11" spans="1:7" s="33" customFormat="1" ht="15" customHeight="1">
      <c r="A11" s="39">
        <v>7</v>
      </c>
      <c r="B11" s="397"/>
      <c r="C11" s="257" t="s">
        <v>824</v>
      </c>
      <c r="D11" s="37" t="s">
        <v>4</v>
      </c>
      <c r="E11" s="131">
        <v>3</v>
      </c>
      <c r="F11" s="258"/>
      <c r="G11" s="259"/>
    </row>
    <row r="12" spans="1:7" s="33" customFormat="1" ht="15" customHeight="1">
      <c r="A12" s="39">
        <v>8</v>
      </c>
      <c r="B12" s="398"/>
      <c r="C12" s="257" t="s">
        <v>817</v>
      </c>
      <c r="D12" s="37" t="s">
        <v>4</v>
      </c>
      <c r="E12" s="131" t="s">
        <v>783</v>
      </c>
      <c r="F12" s="394"/>
      <c r="G12" s="395"/>
    </row>
    <row r="13" spans="1:7">
      <c r="B13" s="219"/>
      <c r="C13" s="219"/>
      <c r="D13" s="219"/>
      <c r="E13" s="219"/>
      <c r="F13" s="394"/>
      <c r="G13" s="395"/>
    </row>
  </sheetData>
  <mergeCells count="16">
    <mergeCell ref="F13:G13"/>
    <mergeCell ref="B5:B12"/>
    <mergeCell ref="F5:G5"/>
    <mergeCell ref="F6:G6"/>
    <mergeCell ref="F7:G7"/>
    <mergeCell ref="F8:G8"/>
    <mergeCell ref="F9:G9"/>
    <mergeCell ref="F10:G10"/>
    <mergeCell ref="F12:G12"/>
    <mergeCell ref="A2:G2"/>
    <mergeCell ref="A3:A4"/>
    <mergeCell ref="B3:B4"/>
    <mergeCell ref="C3:C4"/>
    <mergeCell ref="D3:D4"/>
    <mergeCell ref="E3:E4"/>
    <mergeCell ref="F3:G4"/>
  </mergeCells>
  <pageMargins left="0.7" right="0.7" top="0.75" bottom="0.75" header="0.3" footer="0.3"/>
  <pageSetup paperSize="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G11"/>
  <sheetViews>
    <sheetView zoomScale="96" zoomScaleNormal="96" workbookViewId="0">
      <pane ySplit="4" topLeftCell="A5" activePane="bottomLeft" state="frozen"/>
      <selection pane="bottomLeft" activeCell="E5" sqref="E5:E10"/>
    </sheetView>
  </sheetViews>
  <sheetFormatPr defaultRowHeight="15"/>
  <cols>
    <col min="1" max="1" width="7.42578125" style="2" customWidth="1"/>
    <col min="2" max="2" width="19.7109375" customWidth="1"/>
    <col min="3" max="3" width="44.140625" customWidth="1"/>
    <col min="4" max="4" width="6.140625" customWidth="1"/>
    <col min="5" max="5" width="18.85546875" customWidth="1"/>
    <col min="6" max="6" width="11.140625" customWidth="1"/>
    <col min="7" max="7" width="10.42578125" customWidth="1"/>
  </cols>
  <sheetData>
    <row r="2" spans="1:7" ht="25.5">
      <c r="A2" s="295" t="s">
        <v>808</v>
      </c>
      <c r="B2" s="296"/>
      <c r="C2" s="296"/>
      <c r="D2" s="296"/>
      <c r="E2" s="296"/>
      <c r="F2" s="296"/>
      <c r="G2" s="389"/>
    </row>
    <row r="3" spans="1:7" ht="32.25" customHeight="1">
      <c r="A3" s="298" t="s">
        <v>0</v>
      </c>
      <c r="B3" s="300" t="s">
        <v>20</v>
      </c>
      <c r="C3" s="302" t="s">
        <v>1</v>
      </c>
      <c r="D3" s="304" t="s">
        <v>2</v>
      </c>
      <c r="E3" s="298" t="s">
        <v>809</v>
      </c>
      <c r="F3" s="399" t="s">
        <v>170</v>
      </c>
      <c r="G3" s="400"/>
    </row>
    <row r="4" spans="1:7" ht="36" customHeight="1">
      <c r="A4" s="299"/>
      <c r="B4" s="301"/>
      <c r="C4" s="303"/>
      <c r="D4" s="305"/>
      <c r="E4" s="299"/>
      <c r="F4" s="401"/>
      <c r="G4" s="402"/>
    </row>
    <row r="5" spans="1:7" s="33" customFormat="1" ht="15" customHeight="1">
      <c r="A5" s="39">
        <v>1</v>
      </c>
      <c r="B5" s="396" t="s">
        <v>775</v>
      </c>
      <c r="C5" s="211" t="s">
        <v>818</v>
      </c>
      <c r="D5" s="37" t="s">
        <v>4</v>
      </c>
      <c r="E5" s="131">
        <v>6</v>
      </c>
      <c r="F5" s="394"/>
      <c r="G5" s="395"/>
    </row>
    <row r="6" spans="1:7" s="33" customFormat="1" ht="15" customHeight="1">
      <c r="A6" s="39">
        <v>2</v>
      </c>
      <c r="B6" s="397"/>
      <c r="C6" s="211" t="s">
        <v>819</v>
      </c>
      <c r="D6" s="37" t="s">
        <v>4</v>
      </c>
      <c r="E6" s="131">
        <v>12</v>
      </c>
      <c r="F6" s="394"/>
      <c r="G6" s="395"/>
    </row>
    <row r="7" spans="1:7" s="33" customFormat="1" ht="15" customHeight="1">
      <c r="A7" s="39">
        <v>3</v>
      </c>
      <c r="B7" s="397"/>
      <c r="C7" s="211" t="s">
        <v>820</v>
      </c>
      <c r="D7" s="37" t="s">
        <v>4</v>
      </c>
      <c r="E7" s="131">
        <v>2</v>
      </c>
      <c r="F7" s="394"/>
      <c r="G7" s="395"/>
    </row>
    <row r="8" spans="1:7" s="33" customFormat="1" ht="15" customHeight="1">
      <c r="A8" s="39">
        <v>4</v>
      </c>
      <c r="B8" s="397"/>
      <c r="C8" s="211" t="s">
        <v>821</v>
      </c>
      <c r="D8" s="37" t="s">
        <v>4</v>
      </c>
      <c r="E8" s="131">
        <v>2</v>
      </c>
      <c r="F8" s="394"/>
      <c r="G8" s="395"/>
    </row>
    <row r="9" spans="1:7" s="33" customFormat="1" ht="15" customHeight="1">
      <c r="A9" s="39">
        <v>5</v>
      </c>
      <c r="B9" s="397"/>
      <c r="C9" s="257" t="s">
        <v>822</v>
      </c>
      <c r="D9" s="37" t="s">
        <v>4</v>
      </c>
      <c r="E9" s="131">
        <v>1</v>
      </c>
      <c r="F9" s="394"/>
      <c r="G9" s="395"/>
    </row>
    <row r="10" spans="1:7" s="33" customFormat="1" ht="15" customHeight="1">
      <c r="A10" s="39">
        <v>6</v>
      </c>
      <c r="B10" s="398"/>
      <c r="C10" s="257" t="s">
        <v>823</v>
      </c>
      <c r="D10" s="37" t="s">
        <v>4</v>
      </c>
      <c r="E10" s="131">
        <v>1</v>
      </c>
      <c r="F10" s="394"/>
      <c r="G10" s="395"/>
    </row>
    <row r="11" spans="1:7">
      <c r="B11" s="219"/>
      <c r="C11" s="219"/>
      <c r="D11" s="219"/>
      <c r="E11" s="219"/>
      <c r="F11" s="394"/>
      <c r="G11" s="395"/>
    </row>
  </sheetData>
  <mergeCells count="15">
    <mergeCell ref="F11:G11"/>
    <mergeCell ref="B5:B10"/>
    <mergeCell ref="F5:G5"/>
    <mergeCell ref="F6:G6"/>
    <mergeCell ref="F7:G7"/>
    <mergeCell ref="F8:G8"/>
    <mergeCell ref="F9:G9"/>
    <mergeCell ref="F10:G10"/>
    <mergeCell ref="A2:G2"/>
    <mergeCell ref="A3:A4"/>
    <mergeCell ref="B3:B4"/>
    <mergeCell ref="C3:C4"/>
    <mergeCell ref="D3:D4"/>
    <mergeCell ref="E3:E4"/>
    <mergeCell ref="F3:G4"/>
  </mergeCells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AFFB-B884-47B7-B807-0395E3F2A22D}">
  <dimension ref="A2:J535"/>
  <sheetViews>
    <sheetView workbookViewId="0">
      <selection sqref="A1:XFD1048576"/>
    </sheetView>
  </sheetViews>
  <sheetFormatPr defaultRowHeight="15"/>
  <cols>
    <col min="1" max="1" width="7.42578125" style="279" customWidth="1"/>
    <col min="2" max="2" width="39.42578125" style="1" customWidth="1"/>
    <col min="3" max="3" width="44.140625" style="1" customWidth="1"/>
    <col min="4" max="4" width="6.140625" style="1" customWidth="1"/>
    <col min="5" max="5" width="28.28515625" style="279" customWidth="1"/>
    <col min="6" max="6" width="21.140625" style="166" customWidth="1"/>
    <col min="7" max="7" width="23.42578125" customWidth="1"/>
    <col min="8" max="8" width="9.140625" customWidth="1"/>
  </cols>
  <sheetData>
    <row r="2" spans="1:6" ht="25.5">
      <c r="A2" s="550" t="s">
        <v>808</v>
      </c>
      <c r="B2" s="550"/>
      <c r="C2" s="550"/>
      <c r="D2" s="550"/>
      <c r="E2" s="550"/>
      <c r="F2" s="550"/>
    </row>
    <row r="3" spans="1:6" ht="32.25" customHeight="1">
      <c r="A3" s="385" t="s">
        <v>0</v>
      </c>
      <c r="B3" s="386" t="s">
        <v>20</v>
      </c>
      <c r="C3" s="387" t="s">
        <v>1</v>
      </c>
      <c r="D3" s="388" t="s">
        <v>2</v>
      </c>
      <c r="E3" s="385" t="s">
        <v>870</v>
      </c>
      <c r="F3" s="294" t="s">
        <v>1398</v>
      </c>
    </row>
    <row r="4" spans="1:6" ht="36" customHeight="1">
      <c r="A4" s="385"/>
      <c r="B4" s="386"/>
      <c r="C4" s="387"/>
      <c r="D4" s="388"/>
      <c r="E4" s="385"/>
      <c r="F4" s="294"/>
    </row>
    <row r="5" spans="1:6" ht="36" customHeight="1">
      <c r="A5" s="385" t="s">
        <v>852</v>
      </c>
      <c r="B5" s="385"/>
      <c r="C5" s="385"/>
      <c r="D5" s="385"/>
      <c r="E5" s="385"/>
      <c r="F5" s="385"/>
    </row>
    <row r="6" spans="1:6" s="33" customFormat="1" ht="15" customHeight="1">
      <c r="A6" s="39">
        <v>1</v>
      </c>
      <c r="B6" s="273" t="s">
        <v>834</v>
      </c>
      <c r="C6" s="211" t="s">
        <v>810</v>
      </c>
      <c r="D6" s="37" t="s">
        <v>4</v>
      </c>
      <c r="E6" s="131">
        <v>1</v>
      </c>
      <c r="F6" s="235"/>
    </row>
    <row r="7" spans="1:6" s="33" customFormat="1" ht="15" customHeight="1">
      <c r="A7" s="39">
        <v>2</v>
      </c>
      <c r="B7" s="273"/>
      <c r="C7" s="211" t="s">
        <v>833</v>
      </c>
      <c r="D7" s="37" t="s">
        <v>4</v>
      </c>
      <c r="E7" s="131">
        <v>1</v>
      </c>
      <c r="F7" s="235"/>
    </row>
    <row r="8" spans="1:6" s="33" customFormat="1" ht="15" customHeight="1">
      <c r="A8" s="39">
        <v>3</v>
      </c>
      <c r="B8" s="273" t="s">
        <v>836</v>
      </c>
      <c r="C8" s="211" t="s">
        <v>835</v>
      </c>
      <c r="D8" s="37" t="s">
        <v>4</v>
      </c>
      <c r="E8" s="131">
        <v>1</v>
      </c>
      <c r="F8" s="235">
        <v>2</v>
      </c>
    </row>
    <row r="9" spans="1:6" s="33" customFormat="1" ht="15" customHeight="1">
      <c r="A9" s="39">
        <v>4</v>
      </c>
      <c r="B9" s="273" t="s">
        <v>839</v>
      </c>
      <c r="C9" s="211" t="s">
        <v>837</v>
      </c>
      <c r="D9" s="37" t="s">
        <v>4</v>
      </c>
      <c r="E9" s="131">
        <v>1</v>
      </c>
      <c r="F9" s="235">
        <v>1</v>
      </c>
    </row>
    <row r="10" spans="1:6" s="33" customFormat="1" ht="15" customHeight="1">
      <c r="A10" s="39">
        <v>5</v>
      </c>
      <c r="B10" s="273" t="s">
        <v>840</v>
      </c>
      <c r="C10" s="211" t="s">
        <v>838</v>
      </c>
      <c r="D10" s="37" t="s">
        <v>4</v>
      </c>
      <c r="E10" s="131">
        <v>1</v>
      </c>
      <c r="F10" s="235">
        <v>1</v>
      </c>
    </row>
    <row r="11" spans="1:6" s="33" customFormat="1" ht="15" customHeight="1">
      <c r="A11" s="39">
        <v>6</v>
      </c>
      <c r="B11" s="273" t="s">
        <v>843</v>
      </c>
      <c r="C11" s="211" t="s">
        <v>841</v>
      </c>
      <c r="D11" s="37" t="s">
        <v>4</v>
      </c>
      <c r="E11" s="131">
        <v>1</v>
      </c>
      <c r="F11" s="235">
        <v>1</v>
      </c>
    </row>
    <row r="12" spans="1:6" s="33" customFormat="1" ht="15" customHeight="1">
      <c r="A12" s="39">
        <v>7</v>
      </c>
      <c r="B12" s="273" t="s">
        <v>844</v>
      </c>
      <c r="C12" s="211" t="s">
        <v>842</v>
      </c>
      <c r="D12" s="37" t="s">
        <v>4</v>
      </c>
      <c r="E12" s="131">
        <v>1</v>
      </c>
      <c r="F12" s="235">
        <v>1</v>
      </c>
    </row>
    <row r="13" spans="1:6" s="33" customFormat="1" ht="15" customHeight="1">
      <c r="A13" s="39">
        <v>8</v>
      </c>
      <c r="B13" s="273" t="s">
        <v>846</v>
      </c>
      <c r="C13" s="211" t="s">
        <v>845</v>
      </c>
      <c r="D13" s="37" t="s">
        <v>4</v>
      </c>
      <c r="E13" s="131"/>
      <c r="F13" s="235">
        <v>1</v>
      </c>
    </row>
    <row r="14" spans="1:6" s="33" customFormat="1" ht="15" customHeight="1">
      <c r="A14" s="385" t="s">
        <v>847</v>
      </c>
      <c r="B14" s="385"/>
      <c r="C14" s="385"/>
      <c r="D14" s="385"/>
      <c r="E14" s="385"/>
      <c r="F14" s="385"/>
    </row>
    <row r="15" spans="1:6" s="33" customFormat="1" ht="15" customHeight="1">
      <c r="A15" s="39">
        <v>1</v>
      </c>
      <c r="B15" s="273" t="s">
        <v>849</v>
      </c>
      <c r="C15" s="211" t="s">
        <v>848</v>
      </c>
      <c r="D15" s="37" t="s">
        <v>4</v>
      </c>
      <c r="E15" s="131">
        <v>1</v>
      </c>
      <c r="F15" s="235">
        <v>1</v>
      </c>
    </row>
    <row r="16" spans="1:6" s="33" customFormat="1" ht="15" customHeight="1">
      <c r="A16" s="39">
        <v>2</v>
      </c>
      <c r="B16" s="273" t="s">
        <v>850</v>
      </c>
      <c r="C16" s="211" t="s">
        <v>851</v>
      </c>
      <c r="D16" s="37" t="s">
        <v>4</v>
      </c>
      <c r="E16" s="131">
        <v>1</v>
      </c>
      <c r="F16" s="235">
        <v>1</v>
      </c>
    </row>
    <row r="17" spans="1:6" s="33" customFormat="1" ht="15" customHeight="1">
      <c r="A17" s="385" t="s">
        <v>853</v>
      </c>
      <c r="B17" s="385"/>
      <c r="C17" s="385"/>
      <c r="D17" s="385"/>
      <c r="E17" s="385"/>
      <c r="F17" s="385"/>
    </row>
    <row r="18" spans="1:6" s="33" customFormat="1" ht="15" customHeight="1">
      <c r="A18" s="39">
        <v>1</v>
      </c>
      <c r="B18" s="273"/>
      <c r="C18" s="211" t="s">
        <v>811</v>
      </c>
      <c r="D18" s="37" t="s">
        <v>4</v>
      </c>
      <c r="E18" s="131">
        <v>1</v>
      </c>
      <c r="F18" s="235">
        <v>1</v>
      </c>
    </row>
    <row r="19" spans="1:6" s="33" customFormat="1" ht="15" customHeight="1">
      <c r="A19" s="39">
        <v>2</v>
      </c>
      <c r="B19" s="273" t="s">
        <v>855</v>
      </c>
      <c r="C19" s="211" t="s">
        <v>854</v>
      </c>
      <c r="D19" s="37"/>
      <c r="E19" s="131">
        <v>1</v>
      </c>
      <c r="F19" s="235">
        <v>2</v>
      </c>
    </row>
    <row r="20" spans="1:6" s="33" customFormat="1" ht="15" customHeight="1">
      <c r="A20" s="39">
        <v>3</v>
      </c>
      <c r="B20" s="273" t="s">
        <v>856</v>
      </c>
      <c r="C20" s="211" t="s">
        <v>857</v>
      </c>
      <c r="D20" s="37"/>
      <c r="E20" s="131">
        <v>1</v>
      </c>
      <c r="F20" s="235">
        <v>1</v>
      </c>
    </row>
    <row r="21" spans="1:6" s="33" customFormat="1" ht="15" customHeight="1">
      <c r="A21" s="39">
        <v>4</v>
      </c>
      <c r="B21" s="273" t="s">
        <v>859</v>
      </c>
      <c r="C21" s="211" t="s">
        <v>858</v>
      </c>
      <c r="D21" s="37"/>
      <c r="E21" s="131">
        <v>1</v>
      </c>
      <c r="F21" s="235">
        <v>1</v>
      </c>
    </row>
    <row r="22" spans="1:6" s="33" customFormat="1" ht="15" customHeight="1">
      <c r="A22" s="39">
        <v>5</v>
      </c>
      <c r="B22" s="273" t="s">
        <v>860</v>
      </c>
      <c r="C22" s="211" t="s">
        <v>861</v>
      </c>
      <c r="D22" s="37"/>
      <c r="E22" s="131">
        <v>1</v>
      </c>
      <c r="F22" s="235">
        <v>2</v>
      </c>
    </row>
    <row r="23" spans="1:6" s="33" customFormat="1" ht="15" customHeight="1">
      <c r="A23" s="39">
        <v>6</v>
      </c>
      <c r="B23" s="273" t="s">
        <v>863</v>
      </c>
      <c r="C23" s="211" t="s">
        <v>862</v>
      </c>
      <c r="D23" s="37"/>
      <c r="E23" s="131">
        <v>1</v>
      </c>
      <c r="F23" s="235">
        <v>2</v>
      </c>
    </row>
    <row r="24" spans="1:6">
      <c r="A24" s="279">
        <v>7</v>
      </c>
      <c r="B24" s="242" t="s">
        <v>865</v>
      </c>
      <c r="C24" s="242" t="s">
        <v>864</v>
      </c>
      <c r="D24" s="242"/>
      <c r="E24" s="76">
        <v>1</v>
      </c>
      <c r="F24" s="235">
        <v>2</v>
      </c>
    </row>
    <row r="25" spans="1:6" ht="38.25" customHeight="1">
      <c r="A25" s="279">
        <v>8</v>
      </c>
      <c r="B25" s="1" t="s">
        <v>866</v>
      </c>
      <c r="C25" s="1" t="s">
        <v>867</v>
      </c>
      <c r="E25" s="279">
        <v>1</v>
      </c>
      <c r="F25" s="166">
        <v>2</v>
      </c>
    </row>
    <row r="26" spans="1:6">
      <c r="A26" s="279">
        <v>9</v>
      </c>
      <c r="B26" s="1" t="s">
        <v>869</v>
      </c>
      <c r="C26" s="1" t="s">
        <v>868</v>
      </c>
      <c r="E26" s="279">
        <v>1</v>
      </c>
      <c r="F26" s="166">
        <v>1</v>
      </c>
    </row>
    <row r="27" spans="1:6" ht="23.25" customHeight="1">
      <c r="A27" s="385" t="s">
        <v>873</v>
      </c>
      <c r="B27" s="385"/>
      <c r="C27" s="385"/>
      <c r="D27" s="385"/>
      <c r="E27" s="385"/>
      <c r="F27" s="385"/>
    </row>
    <row r="28" spans="1:6">
      <c r="A28" s="279">
        <v>1</v>
      </c>
      <c r="C28" s="211" t="s">
        <v>818</v>
      </c>
      <c r="E28" s="551" t="s">
        <v>1387</v>
      </c>
      <c r="F28" s="131">
        <v>6</v>
      </c>
    </row>
    <row r="29" spans="1:6">
      <c r="A29" s="279">
        <v>2</v>
      </c>
      <c r="C29" s="211" t="s">
        <v>819</v>
      </c>
      <c r="E29" s="552"/>
      <c r="F29" s="131">
        <v>12</v>
      </c>
    </row>
    <row r="30" spans="1:6">
      <c r="A30" s="279">
        <v>3</v>
      </c>
      <c r="C30" s="211" t="s">
        <v>820</v>
      </c>
      <c r="E30" s="552"/>
      <c r="F30" s="131">
        <v>2</v>
      </c>
    </row>
    <row r="31" spans="1:6">
      <c r="A31" s="279">
        <v>4</v>
      </c>
      <c r="C31" s="211" t="s">
        <v>821</v>
      </c>
      <c r="E31" s="552"/>
      <c r="F31" s="131">
        <v>2</v>
      </c>
    </row>
    <row r="32" spans="1:6">
      <c r="A32" s="279">
        <v>5</v>
      </c>
      <c r="C32" s="257" t="s">
        <v>822</v>
      </c>
      <c r="E32" s="552"/>
      <c r="F32" s="131">
        <v>1</v>
      </c>
    </row>
    <row r="33" spans="1:6">
      <c r="A33" s="279">
        <v>6</v>
      </c>
      <c r="C33" s="257" t="s">
        <v>823</v>
      </c>
      <c r="E33" s="553"/>
      <c r="F33" s="131">
        <v>1</v>
      </c>
    </row>
    <row r="34" spans="1:6" ht="21" customHeight="1">
      <c r="A34" s="385" t="s">
        <v>874</v>
      </c>
      <c r="B34" s="385"/>
      <c r="C34" s="385"/>
      <c r="D34" s="385"/>
      <c r="E34" s="385"/>
      <c r="F34" s="385"/>
    </row>
    <row r="35" spans="1:6">
      <c r="A35" s="279">
        <v>1</v>
      </c>
      <c r="C35" s="211" t="s">
        <v>812</v>
      </c>
      <c r="E35" s="551" t="s">
        <v>1387</v>
      </c>
      <c r="F35" s="131">
        <v>6</v>
      </c>
    </row>
    <row r="36" spans="1:6">
      <c r="A36" s="279">
        <v>2</v>
      </c>
      <c r="C36" s="211" t="s">
        <v>813</v>
      </c>
      <c r="E36" s="552"/>
      <c r="F36" s="131">
        <v>6</v>
      </c>
    </row>
    <row r="37" spans="1:6">
      <c r="A37" s="279">
        <v>3</v>
      </c>
      <c r="C37" s="211" t="s">
        <v>814</v>
      </c>
      <c r="E37" s="552"/>
      <c r="F37" s="131">
        <v>1</v>
      </c>
    </row>
    <row r="38" spans="1:6">
      <c r="A38" s="279">
        <v>4</v>
      </c>
      <c r="C38" s="211" t="s">
        <v>815</v>
      </c>
      <c r="E38" s="552"/>
      <c r="F38" s="131">
        <v>2</v>
      </c>
    </row>
    <row r="39" spans="1:6">
      <c r="A39" s="279">
        <v>5</v>
      </c>
      <c r="C39" s="257" t="s">
        <v>776</v>
      </c>
      <c r="E39" s="552"/>
      <c r="F39" s="131">
        <v>4</v>
      </c>
    </row>
    <row r="40" spans="1:6">
      <c r="A40" s="279">
        <v>6</v>
      </c>
      <c r="C40" s="257" t="s">
        <v>816</v>
      </c>
      <c r="E40" s="552"/>
      <c r="F40" s="131">
        <v>2</v>
      </c>
    </row>
    <row r="41" spans="1:6">
      <c r="A41" s="279">
        <v>7</v>
      </c>
      <c r="C41" s="257" t="s">
        <v>824</v>
      </c>
      <c r="E41" s="552"/>
      <c r="F41" s="131">
        <v>3</v>
      </c>
    </row>
    <row r="42" spans="1:6">
      <c r="A42" s="279">
        <v>8</v>
      </c>
      <c r="C42" s="257" t="s">
        <v>817</v>
      </c>
      <c r="E42" s="553"/>
      <c r="F42" s="131" t="s">
        <v>783</v>
      </c>
    </row>
    <row r="43" spans="1:6" ht="18">
      <c r="A43" s="385" t="s">
        <v>876</v>
      </c>
      <c r="B43" s="385"/>
      <c r="C43" s="385"/>
      <c r="D43" s="385"/>
      <c r="E43" s="385"/>
      <c r="F43" s="385"/>
    </row>
    <row r="44" spans="1:6">
      <c r="A44" s="279">
        <v>1</v>
      </c>
      <c r="B44" s="1" t="s">
        <v>335</v>
      </c>
      <c r="C44" s="1" t="s">
        <v>268</v>
      </c>
      <c r="E44" s="279">
        <v>1</v>
      </c>
      <c r="F44" s="279">
        <v>1</v>
      </c>
    </row>
    <row r="45" spans="1:6">
      <c r="A45" s="279">
        <v>2</v>
      </c>
      <c r="B45" s="1" t="s">
        <v>375</v>
      </c>
      <c r="C45" s="1" t="s">
        <v>275</v>
      </c>
      <c r="E45" s="279">
        <v>24</v>
      </c>
      <c r="F45" s="279">
        <v>24</v>
      </c>
    </row>
    <row r="46" spans="1:6">
      <c r="A46" s="279">
        <v>3</v>
      </c>
      <c r="B46" s="1" t="s">
        <v>376</v>
      </c>
      <c r="C46" s="1" t="s">
        <v>275</v>
      </c>
      <c r="E46" s="279">
        <v>1</v>
      </c>
      <c r="F46" s="279">
        <v>1</v>
      </c>
    </row>
    <row r="47" spans="1:6">
      <c r="A47" s="279">
        <v>4</v>
      </c>
      <c r="B47" s="1" t="s">
        <v>336</v>
      </c>
      <c r="C47" s="1" t="s">
        <v>276</v>
      </c>
      <c r="E47" s="279">
        <v>1</v>
      </c>
      <c r="F47" s="279">
        <v>1</v>
      </c>
    </row>
    <row r="48" spans="1:6">
      <c r="A48" s="279">
        <v>5</v>
      </c>
      <c r="B48" s="1" t="s">
        <v>337</v>
      </c>
      <c r="C48" s="1" t="s">
        <v>276</v>
      </c>
      <c r="E48" s="279">
        <v>1</v>
      </c>
      <c r="F48" s="279">
        <v>1</v>
      </c>
    </row>
    <row r="49" spans="1:7">
      <c r="A49" s="279">
        <v>6</v>
      </c>
      <c r="B49" s="1" t="s">
        <v>338</v>
      </c>
      <c r="C49" s="1" t="s">
        <v>276</v>
      </c>
      <c r="E49" s="279">
        <v>1</v>
      </c>
      <c r="F49" s="279">
        <v>1</v>
      </c>
    </row>
    <row r="50" spans="1:7">
      <c r="A50" s="279">
        <v>7</v>
      </c>
      <c r="B50" s="1" t="s">
        <v>1388</v>
      </c>
      <c r="C50" s="1" t="s">
        <v>276</v>
      </c>
      <c r="E50" s="100" t="s">
        <v>1014</v>
      </c>
      <c r="F50" s="279">
        <v>2</v>
      </c>
    </row>
    <row r="51" spans="1:7">
      <c r="A51" s="279">
        <v>8</v>
      </c>
      <c r="B51" s="1" t="s">
        <v>339</v>
      </c>
      <c r="C51" s="1" t="s">
        <v>276</v>
      </c>
      <c r="E51" s="279">
        <v>1</v>
      </c>
      <c r="F51" s="279">
        <v>1</v>
      </c>
    </row>
    <row r="52" spans="1:7">
      <c r="A52" s="279">
        <v>9</v>
      </c>
      <c r="B52" s="1" t="s">
        <v>340</v>
      </c>
      <c r="C52" s="1" t="s">
        <v>277</v>
      </c>
      <c r="E52" s="279">
        <v>4</v>
      </c>
      <c r="F52" s="279">
        <v>4</v>
      </c>
    </row>
    <row r="53" spans="1:7">
      <c r="A53" s="279">
        <v>10</v>
      </c>
      <c r="B53" s="1" t="s">
        <v>341</v>
      </c>
      <c r="C53" s="1" t="s">
        <v>278</v>
      </c>
      <c r="E53" s="279">
        <v>1</v>
      </c>
      <c r="F53" s="279">
        <v>1</v>
      </c>
    </row>
    <row r="54" spans="1:7">
      <c r="A54" s="279">
        <v>11</v>
      </c>
      <c r="B54" s="1" t="s">
        <v>342</v>
      </c>
      <c r="C54" s="1" t="s">
        <v>278</v>
      </c>
      <c r="E54" s="279">
        <v>1</v>
      </c>
      <c r="F54" s="279">
        <v>1</v>
      </c>
    </row>
    <row r="55" spans="1:7">
      <c r="A55" s="279">
        <v>12</v>
      </c>
      <c r="B55" s="1" t="s">
        <v>343</v>
      </c>
      <c r="C55" s="1" t="s">
        <v>279</v>
      </c>
      <c r="E55" s="279">
        <v>1</v>
      </c>
      <c r="F55" s="279">
        <v>1</v>
      </c>
    </row>
    <row r="56" spans="1:7">
      <c r="A56" s="279">
        <v>13</v>
      </c>
      <c r="B56" s="1" t="s">
        <v>344</v>
      </c>
      <c r="C56" s="1" t="s">
        <v>280</v>
      </c>
      <c r="E56" s="279">
        <v>1</v>
      </c>
      <c r="F56" s="279">
        <v>1</v>
      </c>
    </row>
    <row r="57" spans="1:7">
      <c r="A57" s="279">
        <v>14</v>
      </c>
      <c r="B57" s="1" t="s">
        <v>345</v>
      </c>
      <c r="C57" s="1" t="s">
        <v>280</v>
      </c>
      <c r="E57" s="279">
        <v>2</v>
      </c>
      <c r="F57" s="279">
        <v>2</v>
      </c>
    </row>
    <row r="58" spans="1:7">
      <c r="A58" s="279">
        <v>15</v>
      </c>
      <c r="B58" s="1" t="s">
        <v>1389</v>
      </c>
      <c r="C58" s="1" t="s">
        <v>281</v>
      </c>
      <c r="E58" s="279">
        <v>1</v>
      </c>
      <c r="F58" s="279"/>
    </row>
    <row r="59" spans="1:7">
      <c r="A59" s="279">
        <v>16</v>
      </c>
      <c r="B59" s="1" t="s">
        <v>346</v>
      </c>
      <c r="C59" s="1" t="s">
        <v>281</v>
      </c>
      <c r="E59" s="279">
        <v>1</v>
      </c>
      <c r="F59" s="279">
        <v>1</v>
      </c>
    </row>
    <row r="60" spans="1:7">
      <c r="A60" s="279">
        <v>17</v>
      </c>
      <c r="B60" s="1" t="s">
        <v>347</v>
      </c>
      <c r="C60" s="1" t="s">
        <v>280</v>
      </c>
      <c r="E60" s="279" t="s">
        <v>1390</v>
      </c>
      <c r="F60" s="279">
        <v>3</v>
      </c>
    </row>
    <row r="61" spans="1:7">
      <c r="A61" s="279">
        <v>18</v>
      </c>
      <c r="B61" s="1" t="s">
        <v>348</v>
      </c>
      <c r="C61" s="1" t="s">
        <v>280</v>
      </c>
      <c r="E61" s="279">
        <v>5</v>
      </c>
      <c r="F61" s="279">
        <v>5</v>
      </c>
    </row>
    <row r="62" spans="1:7">
      <c r="A62" s="279">
        <v>19</v>
      </c>
      <c r="B62" s="1" t="s">
        <v>349</v>
      </c>
      <c r="C62" s="1" t="s">
        <v>282</v>
      </c>
      <c r="E62" s="279">
        <v>2</v>
      </c>
      <c r="F62" s="279">
        <v>2</v>
      </c>
      <c r="G62" s="588" t="s">
        <v>1391</v>
      </c>
    </row>
    <row r="63" spans="1:7">
      <c r="A63" s="279">
        <v>20</v>
      </c>
      <c r="B63" s="1" t="s">
        <v>350</v>
      </c>
      <c r="C63" s="1" t="s">
        <v>283</v>
      </c>
      <c r="E63" s="279">
        <v>1</v>
      </c>
      <c r="F63" s="279">
        <v>1</v>
      </c>
      <c r="G63" s="588"/>
    </row>
    <row r="64" spans="1:7">
      <c r="A64" s="279">
        <v>21</v>
      </c>
      <c r="B64" s="586" t="s">
        <v>1364</v>
      </c>
      <c r="C64" s="587" t="s">
        <v>1363</v>
      </c>
      <c r="E64" s="100" t="s">
        <v>1014</v>
      </c>
      <c r="F64" s="279">
        <v>1</v>
      </c>
      <c r="G64" s="588"/>
    </row>
    <row r="65" spans="1:7">
      <c r="A65" s="279">
        <v>22</v>
      </c>
      <c r="B65" s="1" t="s">
        <v>351</v>
      </c>
      <c r="C65" s="1" t="s">
        <v>373</v>
      </c>
      <c r="E65" s="279">
        <v>2</v>
      </c>
      <c r="F65" s="279">
        <v>2</v>
      </c>
    </row>
    <row r="66" spans="1:7">
      <c r="A66" s="279">
        <v>23</v>
      </c>
      <c r="B66" s="1" t="s">
        <v>352</v>
      </c>
      <c r="C66" s="1" t="s">
        <v>373</v>
      </c>
      <c r="E66" s="279">
        <v>2</v>
      </c>
      <c r="F66" s="279">
        <v>2</v>
      </c>
    </row>
    <row r="67" spans="1:7">
      <c r="A67" s="279">
        <v>24</v>
      </c>
      <c r="B67" s="1" t="s">
        <v>353</v>
      </c>
      <c r="C67" s="1" t="s">
        <v>373</v>
      </c>
      <c r="E67" s="279">
        <v>2</v>
      </c>
      <c r="F67" s="279">
        <v>2</v>
      </c>
    </row>
    <row r="68" spans="1:7">
      <c r="A68" s="279">
        <v>25</v>
      </c>
      <c r="B68" s="1" t="s">
        <v>354</v>
      </c>
      <c r="C68" s="1" t="s">
        <v>268</v>
      </c>
      <c r="E68" s="279">
        <v>2</v>
      </c>
      <c r="F68" s="279">
        <v>2</v>
      </c>
    </row>
    <row r="69" spans="1:7">
      <c r="A69" s="279">
        <v>26</v>
      </c>
      <c r="B69" s="1" t="s">
        <v>355</v>
      </c>
      <c r="C69" s="1" t="s">
        <v>268</v>
      </c>
      <c r="E69" s="279">
        <v>1</v>
      </c>
      <c r="F69" s="279">
        <v>1</v>
      </c>
    </row>
    <row r="70" spans="1:7">
      <c r="A70" s="279">
        <v>27</v>
      </c>
      <c r="B70" s="1" t="s">
        <v>356</v>
      </c>
      <c r="C70" s="1" t="s">
        <v>284</v>
      </c>
      <c r="E70" s="279">
        <v>1</v>
      </c>
      <c r="F70" s="279">
        <v>1</v>
      </c>
    </row>
    <row r="71" spans="1:7">
      <c r="A71" s="279">
        <v>28</v>
      </c>
      <c r="B71" s="1" t="s">
        <v>357</v>
      </c>
      <c r="C71" s="1" t="s">
        <v>285</v>
      </c>
      <c r="E71" s="279">
        <v>2</v>
      </c>
      <c r="F71" s="279">
        <v>2</v>
      </c>
    </row>
    <row r="72" spans="1:7">
      <c r="A72" s="279">
        <v>29</v>
      </c>
      <c r="B72" s="1" t="s">
        <v>358</v>
      </c>
      <c r="C72" s="1" t="s">
        <v>286</v>
      </c>
      <c r="E72" s="279">
        <v>2</v>
      </c>
      <c r="F72" s="279">
        <v>2</v>
      </c>
    </row>
    <row r="73" spans="1:7">
      <c r="A73" s="279">
        <v>30</v>
      </c>
      <c r="B73" s="1" t="s">
        <v>360</v>
      </c>
      <c r="C73" s="1" t="s">
        <v>287</v>
      </c>
      <c r="E73" s="279">
        <v>7</v>
      </c>
      <c r="F73" s="279">
        <v>7</v>
      </c>
    </row>
    <row r="74" spans="1:7">
      <c r="A74" s="279">
        <v>31</v>
      </c>
      <c r="B74" s="1" t="s">
        <v>359</v>
      </c>
      <c r="C74" s="1" t="s">
        <v>287</v>
      </c>
      <c r="E74" s="279">
        <v>3</v>
      </c>
      <c r="F74" s="279">
        <v>3</v>
      </c>
    </row>
    <row r="75" spans="1:7">
      <c r="A75" s="279">
        <v>32</v>
      </c>
      <c r="B75" s="1" t="s">
        <v>361</v>
      </c>
      <c r="C75" s="1" t="s">
        <v>374</v>
      </c>
      <c r="E75" s="279">
        <v>2</v>
      </c>
      <c r="F75" s="279">
        <v>2</v>
      </c>
    </row>
    <row r="76" spans="1:7">
      <c r="A76" s="279">
        <v>33</v>
      </c>
      <c r="B76" s="1" t="s">
        <v>362</v>
      </c>
      <c r="C76" s="1" t="s">
        <v>288</v>
      </c>
      <c r="E76" s="279">
        <v>6</v>
      </c>
      <c r="F76" s="279">
        <v>6</v>
      </c>
    </row>
    <row r="77" spans="1:7">
      <c r="A77" s="279">
        <v>34</v>
      </c>
      <c r="B77" s="1" t="s">
        <v>363</v>
      </c>
      <c r="C77" s="223" t="s">
        <v>288</v>
      </c>
      <c r="D77" s="223"/>
      <c r="E77" s="100" t="s">
        <v>1393</v>
      </c>
      <c r="F77" s="100">
        <v>5</v>
      </c>
      <c r="G77" t="s">
        <v>1392</v>
      </c>
    </row>
    <row r="78" spans="1:7">
      <c r="A78" s="279">
        <v>35</v>
      </c>
      <c r="B78" s="1" t="s">
        <v>364</v>
      </c>
      <c r="C78" s="1" t="s">
        <v>268</v>
      </c>
      <c r="E78" s="279">
        <v>1</v>
      </c>
      <c r="F78" s="279">
        <v>1</v>
      </c>
    </row>
    <row r="79" spans="1:7">
      <c r="A79" s="279">
        <v>36</v>
      </c>
      <c r="B79" s="1" t="s">
        <v>50</v>
      </c>
      <c r="C79" s="1" t="s">
        <v>276</v>
      </c>
      <c r="E79" s="279">
        <v>50</v>
      </c>
      <c r="F79" s="279">
        <v>50</v>
      </c>
    </row>
    <row r="80" spans="1:7">
      <c r="A80" s="279">
        <v>37</v>
      </c>
      <c r="B80" s="1" t="s">
        <v>365</v>
      </c>
      <c r="C80" s="1" t="s">
        <v>276</v>
      </c>
      <c r="E80" s="279">
        <v>40</v>
      </c>
      <c r="F80" s="279">
        <v>40</v>
      </c>
    </row>
    <row r="81" spans="1:10">
      <c r="A81" s="279">
        <v>38</v>
      </c>
      <c r="B81" s="1" t="s">
        <v>366</v>
      </c>
      <c r="C81" s="1" t="s">
        <v>289</v>
      </c>
      <c r="E81" s="279">
        <v>15</v>
      </c>
      <c r="F81" s="279">
        <v>15</v>
      </c>
    </row>
    <row r="82" spans="1:10">
      <c r="A82" s="279">
        <v>39</v>
      </c>
      <c r="B82" s="1" t="s">
        <v>367</v>
      </c>
      <c r="C82" s="1" t="s">
        <v>290</v>
      </c>
      <c r="E82" s="279">
        <v>1</v>
      </c>
      <c r="F82" s="279">
        <v>1</v>
      </c>
    </row>
    <row r="83" spans="1:10">
      <c r="A83" s="279">
        <v>40</v>
      </c>
      <c r="B83" s="1" t="s">
        <v>368</v>
      </c>
      <c r="C83" s="1" t="s">
        <v>291</v>
      </c>
      <c r="E83" s="279">
        <v>3</v>
      </c>
      <c r="F83" s="279">
        <v>3</v>
      </c>
    </row>
    <row r="84" spans="1:10" ht="30">
      <c r="A84" s="279">
        <v>41</v>
      </c>
      <c r="B84" s="587" t="s">
        <v>1378</v>
      </c>
      <c r="C84" s="587" t="s">
        <v>1377</v>
      </c>
      <c r="E84" s="100" t="s">
        <v>1014</v>
      </c>
      <c r="F84" s="279">
        <v>2</v>
      </c>
      <c r="G84" s="403" t="s">
        <v>1399</v>
      </c>
    </row>
    <row r="85" spans="1:10" ht="30">
      <c r="A85" s="279">
        <v>42</v>
      </c>
      <c r="B85" s="587" t="s">
        <v>1380</v>
      </c>
      <c r="C85" s="587" t="s">
        <v>1379</v>
      </c>
      <c r="E85" s="100" t="s">
        <v>1014</v>
      </c>
      <c r="F85" s="279">
        <v>1</v>
      </c>
      <c r="G85" s="403" t="s">
        <v>1399</v>
      </c>
    </row>
    <row r="86" spans="1:10">
      <c r="A86" s="279">
        <v>43</v>
      </c>
      <c r="B86" s="1" t="s">
        <v>369</v>
      </c>
      <c r="C86" s="1" t="s">
        <v>292</v>
      </c>
      <c r="E86" s="279">
        <v>1</v>
      </c>
      <c r="F86" s="279">
        <v>1</v>
      </c>
    </row>
    <row r="87" spans="1:10">
      <c r="A87" s="279">
        <v>44</v>
      </c>
      <c r="B87" s="1" t="s">
        <v>370</v>
      </c>
      <c r="C87" s="1" t="s">
        <v>275</v>
      </c>
      <c r="E87" s="279">
        <v>5</v>
      </c>
      <c r="F87" s="279">
        <v>5</v>
      </c>
    </row>
    <row r="88" spans="1:10">
      <c r="A88" s="279">
        <v>45</v>
      </c>
      <c r="B88" s="1" t="s">
        <v>371</v>
      </c>
      <c r="C88" s="1" t="s">
        <v>277</v>
      </c>
      <c r="E88" s="279">
        <v>2</v>
      </c>
      <c r="F88" s="279">
        <v>2</v>
      </c>
    </row>
    <row r="89" spans="1:10">
      <c r="A89" s="279">
        <v>46</v>
      </c>
      <c r="B89" s="38" t="s">
        <v>372</v>
      </c>
      <c r="C89" s="1" t="s">
        <v>293</v>
      </c>
      <c r="E89" s="279">
        <v>1</v>
      </c>
      <c r="F89" s="279">
        <v>1</v>
      </c>
    </row>
    <row r="90" spans="1:10" ht="18.75">
      <c r="A90" s="279">
        <v>47</v>
      </c>
      <c r="B90" s="223"/>
      <c r="C90" s="272" t="s">
        <v>825</v>
      </c>
      <c r="E90" s="556" t="s">
        <v>1386</v>
      </c>
      <c r="F90" s="554" t="s">
        <v>1385</v>
      </c>
      <c r="J90" s="403"/>
    </row>
    <row r="91" spans="1:10" ht="18">
      <c r="A91" s="385" t="s">
        <v>875</v>
      </c>
      <c r="B91" s="385"/>
      <c r="C91" s="385"/>
      <c r="D91" s="385"/>
      <c r="E91" s="385"/>
    </row>
    <row r="92" spans="1:10" ht="15.75">
      <c r="A92" s="279">
        <v>1</v>
      </c>
      <c r="B92" s="54" t="s">
        <v>438</v>
      </c>
      <c r="C92" s="55" t="s">
        <v>437</v>
      </c>
      <c r="E92" s="64">
        <v>1</v>
      </c>
      <c r="F92" s="64">
        <v>1</v>
      </c>
    </row>
    <row r="93" spans="1:10" ht="15.75">
      <c r="A93" s="279">
        <v>2</v>
      </c>
      <c r="B93" s="55" t="s">
        <v>223</v>
      </c>
      <c r="C93" s="58" t="s">
        <v>446</v>
      </c>
      <c r="E93" s="557">
        <v>4</v>
      </c>
      <c r="F93" s="244">
        <v>4</v>
      </c>
    </row>
    <row r="94" spans="1:10" ht="15.75">
      <c r="A94" s="279">
        <v>3</v>
      </c>
      <c r="B94" s="55" t="s">
        <v>224</v>
      </c>
      <c r="C94" s="58" t="s">
        <v>257</v>
      </c>
      <c r="E94" s="557">
        <v>6</v>
      </c>
      <c r="F94" s="244">
        <v>6</v>
      </c>
    </row>
    <row r="95" spans="1:10" ht="15.75">
      <c r="A95" s="279">
        <v>4</v>
      </c>
      <c r="B95" s="55" t="s">
        <v>225</v>
      </c>
      <c r="C95" s="58" t="s">
        <v>247</v>
      </c>
      <c r="E95" s="557">
        <v>3</v>
      </c>
      <c r="F95" s="244">
        <v>3</v>
      </c>
    </row>
    <row r="96" spans="1:10" ht="15.75">
      <c r="A96" s="279">
        <v>5</v>
      </c>
      <c r="B96" s="55" t="s">
        <v>226</v>
      </c>
      <c r="C96" s="58" t="s">
        <v>248</v>
      </c>
      <c r="E96" s="557">
        <v>3</v>
      </c>
      <c r="F96" s="244">
        <v>3</v>
      </c>
    </row>
    <row r="97" spans="1:6" ht="15.75">
      <c r="A97" s="279">
        <v>6</v>
      </c>
      <c r="B97" s="55" t="s">
        <v>227</v>
      </c>
      <c r="C97" s="58" t="s">
        <v>377</v>
      </c>
      <c r="E97" s="557">
        <v>4</v>
      </c>
      <c r="F97" s="244">
        <v>4</v>
      </c>
    </row>
    <row r="98" spans="1:6" ht="15.75">
      <c r="A98" s="279">
        <v>7</v>
      </c>
      <c r="B98" s="55" t="s">
        <v>228</v>
      </c>
      <c r="C98" s="58" t="s">
        <v>447</v>
      </c>
      <c r="E98" s="557">
        <v>6</v>
      </c>
      <c r="F98" s="244">
        <v>6</v>
      </c>
    </row>
    <row r="99" spans="1:6" ht="15.75">
      <c r="A99" s="279">
        <v>8</v>
      </c>
      <c r="B99" s="55" t="s">
        <v>229</v>
      </c>
      <c r="C99" s="62" t="s">
        <v>249</v>
      </c>
      <c r="E99" s="558" t="s">
        <v>441</v>
      </c>
      <c r="F99" s="245" t="s">
        <v>441</v>
      </c>
    </row>
    <row r="100" spans="1:6" ht="15.75">
      <c r="A100" s="279">
        <v>9</v>
      </c>
      <c r="B100" s="55" t="s">
        <v>378</v>
      </c>
      <c r="C100" s="58" t="s">
        <v>380</v>
      </c>
      <c r="E100" s="557">
        <v>1</v>
      </c>
      <c r="F100" s="244">
        <v>1</v>
      </c>
    </row>
    <row r="101" spans="1:6" ht="15.75">
      <c r="A101" s="279">
        <v>10</v>
      </c>
      <c r="B101" s="55" t="s">
        <v>379</v>
      </c>
      <c r="C101" s="58" t="s">
        <v>381</v>
      </c>
      <c r="E101" s="557">
        <v>1</v>
      </c>
      <c r="F101" s="244">
        <v>1</v>
      </c>
    </row>
    <row r="102" spans="1:6" ht="15.75">
      <c r="A102" s="279">
        <v>11</v>
      </c>
      <c r="B102" s="55" t="s">
        <v>232</v>
      </c>
      <c r="C102" s="63" t="s">
        <v>565</v>
      </c>
      <c r="E102" s="65">
        <v>4</v>
      </c>
      <c r="F102" s="246">
        <v>4</v>
      </c>
    </row>
    <row r="103" spans="1:6" ht="15.75">
      <c r="A103" s="279">
        <v>12</v>
      </c>
      <c r="B103" s="55" t="s">
        <v>258</v>
      </c>
      <c r="C103" s="63" t="s">
        <v>382</v>
      </c>
      <c r="E103" s="65">
        <v>1</v>
      </c>
      <c r="F103" s="246">
        <v>1</v>
      </c>
    </row>
    <row r="104" spans="1:6" ht="15.75">
      <c r="A104" s="279">
        <v>13</v>
      </c>
      <c r="B104" s="102" t="s">
        <v>442</v>
      </c>
      <c r="C104" s="103" t="s">
        <v>259</v>
      </c>
      <c r="E104" s="104">
        <v>2</v>
      </c>
      <c r="F104" s="247">
        <v>5</v>
      </c>
    </row>
    <row r="105" spans="1:6" ht="15.75">
      <c r="A105" s="279">
        <v>14</v>
      </c>
      <c r="B105" s="56" t="s">
        <v>234</v>
      </c>
      <c r="C105" s="63" t="s">
        <v>260</v>
      </c>
      <c r="D105" s="242"/>
      <c r="E105" s="65">
        <v>3</v>
      </c>
      <c r="F105" s="65">
        <v>3</v>
      </c>
    </row>
    <row r="106" spans="1:6" ht="15.75">
      <c r="A106" s="279">
        <v>15</v>
      </c>
      <c r="B106" s="55" t="s">
        <v>235</v>
      </c>
      <c r="C106" s="63" t="s">
        <v>448</v>
      </c>
      <c r="E106" s="65">
        <v>1</v>
      </c>
      <c r="F106" s="246">
        <v>1</v>
      </c>
    </row>
    <row r="107" spans="1:6" ht="15.75">
      <c r="A107" s="279">
        <v>16</v>
      </c>
      <c r="B107" s="55" t="s">
        <v>236</v>
      </c>
      <c r="C107" s="63" t="s">
        <v>261</v>
      </c>
      <c r="E107" s="65">
        <v>1</v>
      </c>
      <c r="F107" s="246">
        <v>1</v>
      </c>
    </row>
    <row r="108" spans="1:6" ht="15.75">
      <c r="A108" s="279">
        <v>17</v>
      </c>
      <c r="B108" s="55" t="s">
        <v>237</v>
      </c>
      <c r="C108" s="58" t="s">
        <v>262</v>
      </c>
      <c r="E108" s="557">
        <v>1</v>
      </c>
      <c r="F108" s="244">
        <v>1</v>
      </c>
    </row>
    <row r="109" spans="1:6" ht="15.75">
      <c r="A109" s="279">
        <v>18</v>
      </c>
      <c r="B109" s="56" t="s">
        <v>239</v>
      </c>
      <c r="C109" s="63" t="s">
        <v>449</v>
      </c>
      <c r="D109" s="242"/>
      <c r="E109" s="65">
        <v>3</v>
      </c>
      <c r="F109" s="65">
        <v>3</v>
      </c>
    </row>
    <row r="110" spans="1:6" ht="15.75">
      <c r="A110" s="279">
        <v>19</v>
      </c>
      <c r="B110" s="56" t="s">
        <v>240</v>
      </c>
      <c r="C110" s="63" t="s">
        <v>566</v>
      </c>
      <c r="D110" s="242"/>
      <c r="E110" s="65">
        <v>2</v>
      </c>
      <c r="F110" s="246">
        <v>3</v>
      </c>
    </row>
    <row r="111" spans="1:6" ht="15.75">
      <c r="A111" s="279">
        <v>20</v>
      </c>
      <c r="B111" s="55" t="s">
        <v>241</v>
      </c>
      <c r="C111" s="58" t="s">
        <v>450</v>
      </c>
      <c r="E111" s="557">
        <v>1</v>
      </c>
      <c r="F111" s="244">
        <v>1</v>
      </c>
    </row>
    <row r="112" spans="1:6" ht="15.75">
      <c r="A112" s="279">
        <v>21</v>
      </c>
      <c r="B112" s="55" t="s">
        <v>244</v>
      </c>
      <c r="C112" s="59" t="s">
        <v>451</v>
      </c>
      <c r="E112" s="248">
        <v>1</v>
      </c>
      <c r="F112" s="248">
        <v>1</v>
      </c>
    </row>
    <row r="113" spans="1:6" ht="15.75">
      <c r="A113" s="279">
        <v>22</v>
      </c>
      <c r="B113" s="55" t="s">
        <v>245</v>
      </c>
      <c r="C113" s="58" t="s">
        <v>452</v>
      </c>
      <c r="E113" s="557">
        <v>2</v>
      </c>
      <c r="F113" s="244">
        <v>2</v>
      </c>
    </row>
    <row r="114" spans="1:6" ht="15.75">
      <c r="A114" s="279">
        <v>23</v>
      </c>
      <c r="B114" s="55" t="s">
        <v>246</v>
      </c>
      <c r="C114" s="58" t="s">
        <v>453</v>
      </c>
      <c r="E114" s="557">
        <v>2</v>
      </c>
      <c r="F114" s="244">
        <v>2</v>
      </c>
    </row>
    <row r="115" spans="1:6" ht="15.75">
      <c r="A115" s="279">
        <v>24</v>
      </c>
      <c r="B115" s="56" t="s">
        <v>222</v>
      </c>
      <c r="C115" s="63" t="s">
        <v>454</v>
      </c>
      <c r="D115" s="242"/>
      <c r="E115" s="65">
        <v>4</v>
      </c>
      <c r="F115" s="246">
        <v>4</v>
      </c>
    </row>
    <row r="116" spans="1:6" ht="15.75">
      <c r="A116" s="279">
        <v>25</v>
      </c>
      <c r="B116" s="55" t="s">
        <v>230</v>
      </c>
      <c r="C116" s="58" t="s">
        <v>563</v>
      </c>
      <c r="E116" s="557">
        <v>2</v>
      </c>
      <c r="F116" s="244">
        <v>2</v>
      </c>
    </row>
    <row r="117" spans="1:6" ht="15.75">
      <c r="A117" s="279">
        <v>26</v>
      </c>
      <c r="B117" s="56" t="s">
        <v>231</v>
      </c>
      <c r="C117" s="63" t="s">
        <v>250</v>
      </c>
      <c r="E117" s="65">
        <v>2</v>
      </c>
      <c r="F117" s="246">
        <v>2</v>
      </c>
    </row>
    <row r="118" spans="1:6" ht="15.75">
      <c r="A118" s="279">
        <v>27</v>
      </c>
      <c r="B118" s="55" t="s">
        <v>233</v>
      </c>
      <c r="C118" s="60" t="s">
        <v>251</v>
      </c>
      <c r="E118" s="249">
        <v>5</v>
      </c>
      <c r="F118" s="249">
        <v>5</v>
      </c>
    </row>
    <row r="119" spans="1:6" ht="15.75">
      <c r="A119" s="279">
        <v>28</v>
      </c>
      <c r="B119" s="55" t="s">
        <v>263</v>
      </c>
      <c r="C119" s="60" t="s">
        <v>252</v>
      </c>
      <c r="E119" s="249">
        <v>1</v>
      </c>
      <c r="F119" s="249">
        <v>1</v>
      </c>
    </row>
    <row r="120" spans="1:6" ht="15.75">
      <c r="A120" s="279">
        <v>29</v>
      </c>
      <c r="B120" s="55" t="s">
        <v>443</v>
      </c>
      <c r="C120" s="60" t="s">
        <v>253</v>
      </c>
      <c r="E120" s="249">
        <v>1</v>
      </c>
      <c r="F120" s="249">
        <v>1</v>
      </c>
    </row>
    <row r="121" spans="1:6" ht="15.75">
      <c r="A121" s="279">
        <v>30</v>
      </c>
      <c r="B121" s="55" t="s">
        <v>264</v>
      </c>
      <c r="C121" s="60" t="s">
        <v>567</v>
      </c>
      <c r="E121" s="249">
        <v>2</v>
      </c>
      <c r="F121" s="249">
        <v>2</v>
      </c>
    </row>
    <row r="122" spans="1:6" ht="15.75">
      <c r="A122" s="279">
        <v>31</v>
      </c>
      <c r="B122" s="56" t="s">
        <v>265</v>
      </c>
      <c r="C122" s="140" t="s">
        <v>568</v>
      </c>
      <c r="E122" s="250">
        <v>4</v>
      </c>
      <c r="F122" s="250">
        <v>4</v>
      </c>
    </row>
    <row r="123" spans="1:6" ht="15.75">
      <c r="A123" s="279">
        <v>32</v>
      </c>
      <c r="B123" s="55" t="s">
        <v>267</v>
      </c>
      <c r="C123" s="60" t="s">
        <v>266</v>
      </c>
      <c r="E123" s="249">
        <v>2</v>
      </c>
      <c r="F123" s="249">
        <v>2</v>
      </c>
    </row>
    <row r="124" spans="1:6" ht="15.75">
      <c r="A124" s="279">
        <v>33</v>
      </c>
      <c r="B124" s="54" t="s">
        <v>269</v>
      </c>
      <c r="C124" s="55" t="s">
        <v>681</v>
      </c>
      <c r="E124" s="50">
        <v>2</v>
      </c>
      <c r="F124" s="50">
        <v>2</v>
      </c>
    </row>
    <row r="125" spans="1:6" ht="15.75">
      <c r="A125" s="279">
        <v>34</v>
      </c>
      <c r="B125" s="55" t="s">
        <v>270</v>
      </c>
      <c r="C125" s="60" t="s">
        <v>271</v>
      </c>
      <c r="E125" s="249">
        <v>2</v>
      </c>
      <c r="F125" s="249">
        <v>2</v>
      </c>
    </row>
    <row r="126" spans="1:6" ht="15.75">
      <c r="A126" s="279">
        <v>35</v>
      </c>
      <c r="B126" s="55" t="s">
        <v>242</v>
      </c>
      <c r="C126" s="60" t="s">
        <v>455</v>
      </c>
      <c r="E126" s="249">
        <v>1</v>
      </c>
      <c r="F126" s="249">
        <v>1</v>
      </c>
    </row>
    <row r="127" spans="1:6" ht="15.75">
      <c r="A127" s="279">
        <v>36</v>
      </c>
      <c r="B127" s="54" t="s">
        <v>243</v>
      </c>
      <c r="C127" s="55" t="s">
        <v>569</v>
      </c>
      <c r="E127" s="50">
        <v>2</v>
      </c>
      <c r="F127" s="50">
        <v>2</v>
      </c>
    </row>
    <row r="128" spans="1:6" ht="15.75">
      <c r="A128" s="279">
        <v>37</v>
      </c>
      <c r="B128" s="54" t="s">
        <v>272</v>
      </c>
      <c r="C128" s="55" t="s">
        <v>570</v>
      </c>
      <c r="E128" s="50">
        <v>1</v>
      </c>
      <c r="F128" s="50">
        <v>1</v>
      </c>
    </row>
    <row r="129" spans="1:6" ht="15.75">
      <c r="A129" s="279">
        <v>38</v>
      </c>
      <c r="B129" s="102" t="s">
        <v>273</v>
      </c>
      <c r="C129" s="117" t="s">
        <v>564</v>
      </c>
      <c r="E129" s="271">
        <v>2</v>
      </c>
      <c r="F129" s="271">
        <v>3</v>
      </c>
    </row>
    <row r="130" spans="1:6" ht="15.75">
      <c r="A130" s="279">
        <v>39</v>
      </c>
      <c r="B130" s="56" t="s">
        <v>274</v>
      </c>
      <c r="C130" s="63" t="s">
        <v>456</v>
      </c>
      <c r="D130" s="242"/>
      <c r="E130" s="65">
        <v>1</v>
      </c>
      <c r="F130" s="246">
        <v>1</v>
      </c>
    </row>
    <row r="131" spans="1:6" ht="15.75">
      <c r="A131" s="279">
        <v>40</v>
      </c>
      <c r="B131" s="56" t="s">
        <v>238</v>
      </c>
      <c r="C131" s="63" t="s">
        <v>254</v>
      </c>
      <c r="D131" s="242"/>
      <c r="E131" s="65">
        <v>3</v>
      </c>
      <c r="F131" s="65">
        <v>3</v>
      </c>
    </row>
    <row r="132" spans="1:6" ht="15.75">
      <c r="A132" s="279">
        <v>41</v>
      </c>
      <c r="B132" s="54" t="s">
        <v>457</v>
      </c>
      <c r="C132" s="57" t="s">
        <v>458</v>
      </c>
      <c r="E132" s="50">
        <v>7</v>
      </c>
      <c r="F132" s="52">
        <v>7</v>
      </c>
    </row>
    <row r="133" spans="1:6" ht="15.75">
      <c r="A133" s="279">
        <v>42</v>
      </c>
      <c r="B133" s="546" t="s">
        <v>670</v>
      </c>
      <c r="C133" s="546" t="s">
        <v>571</v>
      </c>
      <c r="D133" s="242"/>
      <c r="E133" s="141">
        <v>9</v>
      </c>
      <c r="F133" s="251">
        <v>9</v>
      </c>
    </row>
    <row r="134" spans="1:6" ht="15.75">
      <c r="A134" s="279">
        <v>43</v>
      </c>
      <c r="B134" s="210" t="s">
        <v>460</v>
      </c>
      <c r="C134" s="210" t="s">
        <v>459</v>
      </c>
      <c r="E134" s="50" t="s">
        <v>444</v>
      </c>
      <c r="F134" s="50" t="s">
        <v>444</v>
      </c>
    </row>
    <row r="135" spans="1:6" ht="15.75">
      <c r="A135" s="279">
        <v>44</v>
      </c>
      <c r="B135" s="57" t="s">
        <v>236</v>
      </c>
      <c r="C135" s="57" t="s">
        <v>461</v>
      </c>
      <c r="E135" s="50">
        <v>1</v>
      </c>
      <c r="F135" s="52">
        <v>1</v>
      </c>
    </row>
    <row r="136" spans="1:6" ht="31.5">
      <c r="A136" s="279">
        <v>45</v>
      </c>
      <c r="B136" s="57" t="s">
        <v>462</v>
      </c>
      <c r="C136" s="61" t="s">
        <v>463</v>
      </c>
      <c r="E136" s="50">
        <v>0.5</v>
      </c>
      <c r="F136" s="50">
        <v>0.5</v>
      </c>
    </row>
    <row r="137" spans="1:6" ht="31.5">
      <c r="A137" s="279">
        <v>46</v>
      </c>
      <c r="B137" s="57" t="s">
        <v>464</v>
      </c>
      <c r="C137" s="61" t="s">
        <v>516</v>
      </c>
      <c r="E137" s="50">
        <v>4</v>
      </c>
      <c r="F137" s="50">
        <v>4</v>
      </c>
    </row>
    <row r="138" spans="1:6" ht="15.75">
      <c r="A138" s="279">
        <v>47</v>
      </c>
      <c r="B138" s="57" t="s">
        <v>465</v>
      </c>
      <c r="C138" s="57" t="s">
        <v>466</v>
      </c>
      <c r="E138" s="50">
        <v>2</v>
      </c>
      <c r="F138" s="50">
        <v>2</v>
      </c>
    </row>
    <row r="139" spans="1:6" ht="15.75">
      <c r="A139" s="279">
        <v>48</v>
      </c>
      <c r="B139" s="57" t="s">
        <v>467</v>
      </c>
      <c r="C139" s="57" t="s">
        <v>468</v>
      </c>
      <c r="E139" s="50">
        <v>2</v>
      </c>
      <c r="F139" s="50">
        <v>2</v>
      </c>
    </row>
    <row r="140" spans="1:6" ht="15.75">
      <c r="A140" s="279">
        <v>49</v>
      </c>
      <c r="B140" s="57" t="s">
        <v>469</v>
      </c>
      <c r="C140" s="61" t="s">
        <v>470</v>
      </c>
      <c r="E140" s="50">
        <v>7</v>
      </c>
      <c r="F140" s="50">
        <v>7</v>
      </c>
    </row>
    <row r="141" spans="1:6" ht="15.75">
      <c r="A141" s="279">
        <v>50</v>
      </c>
      <c r="B141" s="57" t="s">
        <v>471</v>
      </c>
      <c r="C141" s="61" t="s">
        <v>472</v>
      </c>
      <c r="E141" s="50">
        <v>7</v>
      </c>
      <c r="F141" s="50">
        <v>7</v>
      </c>
    </row>
    <row r="142" spans="1:6" ht="15.75">
      <c r="A142" s="279">
        <v>51</v>
      </c>
      <c r="B142" s="57" t="s">
        <v>473</v>
      </c>
      <c r="C142" s="61" t="s">
        <v>474</v>
      </c>
      <c r="E142" s="50">
        <v>12</v>
      </c>
      <c r="F142" s="50">
        <v>12</v>
      </c>
    </row>
    <row r="143" spans="1:6" ht="15.75">
      <c r="A143" s="279">
        <v>52</v>
      </c>
      <c r="B143" s="57" t="s">
        <v>237</v>
      </c>
      <c r="C143" s="61" t="s">
        <v>262</v>
      </c>
      <c r="E143" s="50">
        <v>1</v>
      </c>
      <c r="F143" s="50">
        <v>1</v>
      </c>
    </row>
    <row r="144" spans="1:6" ht="15.75">
      <c r="A144" s="279">
        <v>53</v>
      </c>
      <c r="B144" s="57" t="s">
        <v>475</v>
      </c>
      <c r="C144" s="61" t="s">
        <v>476</v>
      </c>
      <c r="E144" s="50">
        <v>8</v>
      </c>
      <c r="F144" s="50">
        <v>8</v>
      </c>
    </row>
    <row r="145" spans="1:6" ht="15.75">
      <c r="A145" s="279">
        <v>54</v>
      </c>
      <c r="B145" s="57" t="s">
        <v>477</v>
      </c>
      <c r="C145" s="61" t="s">
        <v>478</v>
      </c>
      <c r="E145" s="50">
        <v>8</v>
      </c>
      <c r="F145" s="50">
        <v>8</v>
      </c>
    </row>
    <row r="146" spans="1:6" ht="15.75">
      <c r="A146" s="279">
        <v>55</v>
      </c>
      <c r="B146" s="57" t="s">
        <v>479</v>
      </c>
      <c r="C146" s="61" t="s">
        <v>480</v>
      </c>
      <c r="E146" s="50">
        <v>4</v>
      </c>
      <c r="F146" s="50">
        <v>4</v>
      </c>
    </row>
    <row r="147" spans="1:6" ht="15.75">
      <c r="A147" s="279">
        <v>56</v>
      </c>
      <c r="B147" s="57" t="s">
        <v>481</v>
      </c>
      <c r="C147" s="61" t="s">
        <v>482</v>
      </c>
      <c r="E147" s="50">
        <v>4</v>
      </c>
      <c r="F147" s="50">
        <v>4</v>
      </c>
    </row>
    <row r="148" spans="1:6" ht="15.75">
      <c r="A148" s="279">
        <v>57</v>
      </c>
      <c r="B148" s="57" t="s">
        <v>483</v>
      </c>
      <c r="C148" s="61" t="s">
        <v>484</v>
      </c>
      <c r="E148" s="50">
        <v>4</v>
      </c>
      <c r="F148" s="50">
        <v>4</v>
      </c>
    </row>
    <row r="149" spans="1:6" ht="15.75">
      <c r="A149" s="279">
        <v>58</v>
      </c>
      <c r="B149" s="57" t="s">
        <v>234</v>
      </c>
      <c r="C149" s="61" t="s">
        <v>485</v>
      </c>
      <c r="E149" s="50">
        <v>1</v>
      </c>
      <c r="F149" s="50">
        <v>1</v>
      </c>
    </row>
    <row r="150" spans="1:6" ht="31.5">
      <c r="A150" s="279">
        <v>59</v>
      </c>
      <c r="B150" s="57" t="s">
        <v>235</v>
      </c>
      <c r="C150" s="61" t="s">
        <v>517</v>
      </c>
      <c r="E150" s="50">
        <v>1</v>
      </c>
      <c r="F150" s="50">
        <v>1</v>
      </c>
    </row>
    <row r="151" spans="1:6" ht="15.75">
      <c r="A151" s="279">
        <v>60</v>
      </c>
      <c r="B151" s="57" t="s">
        <v>486</v>
      </c>
      <c r="C151" s="61" t="s">
        <v>487</v>
      </c>
      <c r="E151" s="50">
        <v>2</v>
      </c>
      <c r="F151" s="50">
        <v>2</v>
      </c>
    </row>
    <row r="152" spans="1:6" ht="15.75">
      <c r="A152" s="279">
        <v>61</v>
      </c>
      <c r="B152" s="57" t="s">
        <v>477</v>
      </c>
      <c r="C152" s="61" t="s">
        <v>478</v>
      </c>
      <c r="E152" s="50">
        <v>2</v>
      </c>
      <c r="F152" s="50">
        <v>2</v>
      </c>
    </row>
    <row r="153" spans="1:6" ht="15.75">
      <c r="A153" s="279">
        <v>62</v>
      </c>
      <c r="B153" s="57" t="s">
        <v>475</v>
      </c>
      <c r="C153" s="61" t="s">
        <v>476</v>
      </c>
      <c r="E153" s="50">
        <v>2</v>
      </c>
      <c r="F153" s="50">
        <v>2</v>
      </c>
    </row>
    <row r="154" spans="1:6" ht="15.75">
      <c r="A154" s="279">
        <v>63</v>
      </c>
      <c r="B154" s="57">
        <v>920046200</v>
      </c>
      <c r="C154" s="61" t="s">
        <v>488</v>
      </c>
      <c r="E154" s="50">
        <v>8</v>
      </c>
      <c r="F154" s="50">
        <v>8</v>
      </c>
    </row>
    <row r="155" spans="1:6" ht="15.75">
      <c r="A155" s="279">
        <v>64</v>
      </c>
      <c r="B155" s="57">
        <v>926022900</v>
      </c>
      <c r="C155" s="61" t="s">
        <v>489</v>
      </c>
      <c r="E155" s="50">
        <v>8</v>
      </c>
      <c r="F155" s="50">
        <v>8</v>
      </c>
    </row>
    <row r="156" spans="1:6" ht="15.75">
      <c r="A156" s="279">
        <v>65</v>
      </c>
      <c r="B156" s="57">
        <v>908020800</v>
      </c>
      <c r="C156" s="61" t="s">
        <v>490</v>
      </c>
      <c r="E156" s="50">
        <v>8</v>
      </c>
      <c r="F156" s="50">
        <v>8</v>
      </c>
    </row>
    <row r="157" spans="1:6" ht="15.75">
      <c r="A157" s="279">
        <v>66</v>
      </c>
      <c r="B157" s="57">
        <v>909022700</v>
      </c>
      <c r="C157" s="61" t="s">
        <v>491</v>
      </c>
      <c r="E157" s="50">
        <v>8</v>
      </c>
      <c r="F157" s="50">
        <v>8</v>
      </c>
    </row>
    <row r="158" spans="1:6" ht="15.75">
      <c r="A158" s="279">
        <v>67</v>
      </c>
      <c r="B158" s="46" t="s">
        <v>619</v>
      </c>
      <c r="C158" s="205" t="s">
        <v>615</v>
      </c>
      <c r="E158" s="50">
        <v>2</v>
      </c>
      <c r="F158" s="52">
        <v>2</v>
      </c>
    </row>
    <row r="159" spans="1:6" ht="15.75">
      <c r="A159" s="279">
        <v>68</v>
      </c>
      <c r="B159" s="46" t="s">
        <v>620</v>
      </c>
      <c r="C159" s="205" t="s">
        <v>616</v>
      </c>
      <c r="E159" s="50">
        <v>1</v>
      </c>
      <c r="F159" s="52">
        <v>1</v>
      </c>
    </row>
    <row r="160" spans="1:6" ht="15.75">
      <c r="A160" s="279">
        <v>69</v>
      </c>
      <c r="B160" s="114" t="s">
        <v>618</v>
      </c>
      <c r="C160" s="208" t="s">
        <v>617</v>
      </c>
      <c r="E160" s="50" t="s">
        <v>618</v>
      </c>
      <c r="F160" s="52" t="s">
        <v>618</v>
      </c>
    </row>
    <row r="161" spans="1:6" ht="15.75">
      <c r="A161" s="279">
        <v>70</v>
      </c>
      <c r="B161" s="46" t="s">
        <v>644</v>
      </c>
      <c r="C161" s="205" t="s">
        <v>621</v>
      </c>
      <c r="E161" s="50">
        <v>4</v>
      </c>
      <c r="F161" s="50">
        <v>4</v>
      </c>
    </row>
    <row r="162" spans="1:6" ht="15.75">
      <c r="A162" s="279">
        <v>71</v>
      </c>
      <c r="B162" s="46" t="s">
        <v>645</v>
      </c>
      <c r="C162" s="205" t="s">
        <v>622</v>
      </c>
      <c r="E162" s="66">
        <v>1</v>
      </c>
      <c r="F162" s="66">
        <v>1</v>
      </c>
    </row>
    <row r="163" spans="1:6" ht="15.75">
      <c r="A163" s="279">
        <v>72</v>
      </c>
      <c r="B163" s="46" t="s">
        <v>646</v>
      </c>
      <c r="C163" s="205" t="s">
        <v>623</v>
      </c>
      <c r="E163" s="66">
        <v>0.1</v>
      </c>
      <c r="F163" s="66">
        <v>0.1</v>
      </c>
    </row>
    <row r="164" spans="1:6" ht="15.75">
      <c r="A164" s="279">
        <v>73</v>
      </c>
      <c r="B164" s="46" t="s">
        <v>647</v>
      </c>
      <c r="C164" s="205" t="s">
        <v>624</v>
      </c>
      <c r="E164" s="66">
        <v>2</v>
      </c>
      <c r="F164" s="66">
        <v>2</v>
      </c>
    </row>
    <row r="165" spans="1:6" ht="15.75">
      <c r="A165" s="279">
        <v>74</v>
      </c>
      <c r="B165" s="46" t="s">
        <v>648</v>
      </c>
      <c r="C165" s="205" t="s">
        <v>625</v>
      </c>
      <c r="E165" s="66">
        <v>1</v>
      </c>
      <c r="F165" s="66">
        <v>1</v>
      </c>
    </row>
    <row r="166" spans="1:6" ht="15.75">
      <c r="A166" s="279">
        <v>75</v>
      </c>
      <c r="B166" s="46" t="s">
        <v>649</v>
      </c>
      <c r="C166" s="205" t="s">
        <v>626</v>
      </c>
      <c r="E166" s="66">
        <v>8</v>
      </c>
      <c r="F166" s="66">
        <v>8</v>
      </c>
    </row>
    <row r="167" spans="1:6" ht="15.75">
      <c r="A167" s="279">
        <v>76</v>
      </c>
      <c r="B167" s="46" t="s">
        <v>650</v>
      </c>
      <c r="C167" s="205" t="s">
        <v>627</v>
      </c>
      <c r="E167" s="66">
        <v>2</v>
      </c>
      <c r="F167" s="66">
        <v>2</v>
      </c>
    </row>
    <row r="168" spans="1:6" ht="15.75">
      <c r="A168" s="279">
        <v>77</v>
      </c>
      <c r="B168" s="46" t="s">
        <v>651</v>
      </c>
      <c r="C168" s="205" t="s">
        <v>628</v>
      </c>
      <c r="E168" s="66">
        <v>2</v>
      </c>
      <c r="F168" s="66">
        <v>2</v>
      </c>
    </row>
    <row r="169" spans="1:6" ht="15.75">
      <c r="A169" s="279">
        <v>78</v>
      </c>
      <c r="B169" s="46" t="s">
        <v>652</v>
      </c>
      <c r="C169" s="205" t="s">
        <v>629</v>
      </c>
      <c r="E169" s="66">
        <v>2</v>
      </c>
      <c r="F169" s="66">
        <v>2</v>
      </c>
    </row>
    <row r="170" spans="1:6" ht="15.75">
      <c r="A170" s="279">
        <v>79</v>
      </c>
      <c r="B170" s="46" t="s">
        <v>653</v>
      </c>
      <c r="C170" s="205" t="s">
        <v>630</v>
      </c>
      <c r="E170" s="66">
        <v>1</v>
      </c>
      <c r="F170" s="66">
        <v>1</v>
      </c>
    </row>
    <row r="171" spans="1:6" ht="15.75">
      <c r="A171" s="279">
        <v>80</v>
      </c>
      <c r="B171" s="46" t="s">
        <v>654</v>
      </c>
      <c r="C171" s="205" t="s">
        <v>631</v>
      </c>
      <c r="E171" s="66">
        <v>6</v>
      </c>
      <c r="F171" s="66">
        <v>6</v>
      </c>
    </row>
    <row r="172" spans="1:6" ht="15.75">
      <c r="A172" s="279">
        <v>81</v>
      </c>
      <c r="B172" s="46" t="s">
        <v>655</v>
      </c>
      <c r="C172" s="205" t="s">
        <v>632</v>
      </c>
      <c r="E172" s="66">
        <v>1</v>
      </c>
      <c r="F172" s="66">
        <v>1</v>
      </c>
    </row>
    <row r="173" spans="1:6" ht="15.75">
      <c r="A173" s="279">
        <v>82</v>
      </c>
      <c r="B173" s="46" t="s">
        <v>656</v>
      </c>
      <c r="C173" s="205" t="s">
        <v>633</v>
      </c>
      <c r="E173" s="66">
        <v>6</v>
      </c>
      <c r="F173" s="66">
        <v>6</v>
      </c>
    </row>
    <row r="174" spans="1:6" ht="15.75">
      <c r="A174" s="279">
        <v>83</v>
      </c>
      <c r="B174" s="46" t="s">
        <v>666</v>
      </c>
      <c r="C174" s="205" t="s">
        <v>634</v>
      </c>
      <c r="E174" s="66">
        <v>1</v>
      </c>
      <c r="F174" s="66">
        <v>1</v>
      </c>
    </row>
    <row r="175" spans="1:6" ht="15.75">
      <c r="A175" s="279">
        <v>84</v>
      </c>
      <c r="B175" s="46" t="s">
        <v>665</v>
      </c>
      <c r="C175" s="205" t="s">
        <v>635</v>
      </c>
      <c r="E175" s="66">
        <v>9</v>
      </c>
      <c r="F175" s="66">
        <v>9</v>
      </c>
    </row>
    <row r="176" spans="1:6" ht="15.75">
      <c r="A176" s="279">
        <v>85</v>
      </c>
      <c r="B176" s="46" t="s">
        <v>664</v>
      </c>
      <c r="C176" s="205" t="s">
        <v>636</v>
      </c>
      <c r="E176" s="66">
        <v>5</v>
      </c>
      <c r="F176" s="66">
        <v>5</v>
      </c>
    </row>
    <row r="177" spans="1:6" ht="15.75">
      <c r="A177" s="279">
        <v>86</v>
      </c>
      <c r="B177" s="46" t="s">
        <v>663</v>
      </c>
      <c r="C177" s="205" t="s">
        <v>637</v>
      </c>
      <c r="E177" s="66">
        <v>12</v>
      </c>
      <c r="F177" s="66">
        <v>12</v>
      </c>
    </row>
    <row r="178" spans="1:6" ht="15.75">
      <c r="A178" s="279">
        <v>87</v>
      </c>
      <c r="B178" s="46" t="s">
        <v>662</v>
      </c>
      <c r="C178" s="205" t="s">
        <v>638</v>
      </c>
      <c r="E178" s="66">
        <v>1</v>
      </c>
      <c r="F178" s="66">
        <v>1</v>
      </c>
    </row>
    <row r="179" spans="1:6" ht="15.75">
      <c r="A179" s="279">
        <v>88</v>
      </c>
      <c r="B179" s="46" t="s">
        <v>661</v>
      </c>
      <c r="C179" s="205" t="s">
        <v>639</v>
      </c>
      <c r="E179" s="66">
        <v>61</v>
      </c>
      <c r="F179" s="66">
        <v>61</v>
      </c>
    </row>
    <row r="180" spans="1:6" ht="15.75">
      <c r="A180" s="279">
        <v>89</v>
      </c>
      <c r="B180" s="46" t="s">
        <v>660</v>
      </c>
      <c r="C180" s="205" t="s">
        <v>640</v>
      </c>
      <c r="E180" s="66">
        <v>2</v>
      </c>
      <c r="F180" s="66">
        <v>2</v>
      </c>
    </row>
    <row r="181" spans="1:6" ht="15.75">
      <c r="A181" s="279">
        <v>90</v>
      </c>
      <c r="B181" s="46" t="s">
        <v>659</v>
      </c>
      <c r="C181" s="205" t="s">
        <v>641</v>
      </c>
      <c r="E181" s="66">
        <v>2</v>
      </c>
      <c r="F181" s="66">
        <v>2</v>
      </c>
    </row>
    <row r="182" spans="1:6" ht="15.75">
      <c r="A182" s="279">
        <v>91</v>
      </c>
      <c r="B182" s="46" t="s">
        <v>658</v>
      </c>
      <c r="C182" s="205" t="s">
        <v>642</v>
      </c>
      <c r="E182" s="66">
        <v>1</v>
      </c>
      <c r="F182" s="66">
        <v>1</v>
      </c>
    </row>
    <row r="183" spans="1:6" ht="15.75">
      <c r="A183" s="279">
        <v>92</v>
      </c>
      <c r="B183" s="46" t="s">
        <v>657</v>
      </c>
      <c r="C183" s="205" t="s">
        <v>643</v>
      </c>
      <c r="E183" s="66">
        <v>1</v>
      </c>
      <c r="F183" s="66">
        <v>1</v>
      </c>
    </row>
    <row r="184" spans="1:6" ht="30">
      <c r="A184" s="279">
        <v>93</v>
      </c>
      <c r="B184" s="39" t="s">
        <v>668</v>
      </c>
      <c r="C184" s="207" t="s">
        <v>669</v>
      </c>
      <c r="E184" s="141">
        <v>0</v>
      </c>
      <c r="F184" s="134">
        <v>2</v>
      </c>
    </row>
    <row r="185" spans="1:6">
      <c r="A185" s="279">
        <v>94</v>
      </c>
      <c r="B185" s="590" t="s">
        <v>799</v>
      </c>
      <c r="C185" s="559" t="s">
        <v>786</v>
      </c>
      <c r="D185" s="559"/>
      <c r="E185" s="559"/>
      <c r="F185" s="559">
        <v>2</v>
      </c>
    </row>
    <row r="186" spans="1:6">
      <c r="A186" s="279">
        <v>95</v>
      </c>
      <c r="B186" s="591"/>
      <c r="C186" s="559" t="s">
        <v>787</v>
      </c>
      <c r="D186" s="559"/>
      <c r="E186" s="559"/>
      <c r="F186" s="559">
        <v>2</v>
      </c>
    </row>
    <row r="187" spans="1:6">
      <c r="A187" s="279">
        <v>96</v>
      </c>
      <c r="B187" s="591"/>
      <c r="C187" s="559" t="s">
        <v>788</v>
      </c>
      <c r="D187" s="559"/>
      <c r="E187" s="559"/>
      <c r="F187" s="559">
        <v>2</v>
      </c>
    </row>
    <row r="188" spans="1:6">
      <c r="A188" s="279">
        <v>97</v>
      </c>
      <c r="B188" s="591"/>
      <c r="C188" s="559" t="s">
        <v>789</v>
      </c>
      <c r="D188" s="559"/>
      <c r="E188" s="559"/>
      <c r="F188" s="559">
        <v>2</v>
      </c>
    </row>
    <row r="189" spans="1:6">
      <c r="A189" s="279">
        <v>98</v>
      </c>
      <c r="B189" s="591"/>
      <c r="C189" s="559" t="s">
        <v>790</v>
      </c>
      <c r="D189" s="559"/>
      <c r="E189" s="559"/>
      <c r="F189" s="559">
        <v>4</v>
      </c>
    </row>
    <row r="190" spans="1:6">
      <c r="A190" s="279">
        <v>99</v>
      </c>
      <c r="B190" s="591"/>
      <c r="C190" s="559" t="s">
        <v>791</v>
      </c>
      <c r="D190" s="559"/>
      <c r="E190" s="559"/>
      <c r="F190" s="559">
        <v>2</v>
      </c>
    </row>
    <row r="191" spans="1:6" ht="30">
      <c r="A191" s="279">
        <v>100</v>
      </c>
      <c r="B191" s="591"/>
      <c r="C191" s="595" t="s">
        <v>792</v>
      </c>
      <c r="D191" s="559"/>
      <c r="E191" s="559"/>
      <c r="F191" s="559" t="s">
        <v>798</v>
      </c>
    </row>
    <row r="192" spans="1:6">
      <c r="A192" s="279">
        <v>101</v>
      </c>
      <c r="B192" s="591"/>
      <c r="C192" s="559" t="s">
        <v>793</v>
      </c>
      <c r="D192" s="559"/>
      <c r="E192" s="559"/>
      <c r="F192" s="559">
        <v>1</v>
      </c>
    </row>
    <row r="193" spans="1:6">
      <c r="A193" s="279">
        <v>102</v>
      </c>
      <c r="B193" s="591"/>
      <c r="C193" s="559" t="s">
        <v>794</v>
      </c>
      <c r="D193" s="559"/>
      <c r="E193" s="559"/>
      <c r="F193" s="559">
        <v>1</v>
      </c>
    </row>
    <row r="194" spans="1:6">
      <c r="A194" s="279">
        <v>103</v>
      </c>
      <c r="B194" s="591"/>
      <c r="C194" s="559" t="s">
        <v>795</v>
      </c>
      <c r="D194" s="559"/>
      <c r="E194" s="559"/>
      <c r="F194" s="559">
        <v>2</v>
      </c>
    </row>
    <row r="195" spans="1:6">
      <c r="A195" s="279">
        <v>104</v>
      </c>
      <c r="B195" s="591"/>
      <c r="C195" s="559" t="s">
        <v>796</v>
      </c>
      <c r="D195" s="559"/>
      <c r="E195" s="559"/>
      <c r="F195" s="559">
        <v>1</v>
      </c>
    </row>
    <row r="196" spans="1:6">
      <c r="A196" s="279">
        <v>105</v>
      </c>
      <c r="B196" s="591"/>
      <c r="C196" s="559" t="s">
        <v>797</v>
      </c>
      <c r="D196" s="559"/>
      <c r="E196" s="559"/>
      <c r="F196" s="559">
        <v>2</v>
      </c>
    </row>
    <row r="197" spans="1:6">
      <c r="A197" s="279">
        <v>106</v>
      </c>
      <c r="B197" s="592"/>
      <c r="C197" s="559" t="s">
        <v>832</v>
      </c>
      <c r="D197" s="559"/>
      <c r="E197" s="559"/>
      <c r="F197" s="559">
        <v>1</v>
      </c>
    </row>
    <row r="198" spans="1:6" ht="21" customHeight="1">
      <c r="A198" s="385" t="s">
        <v>1400</v>
      </c>
      <c r="B198" s="385"/>
      <c r="C198" s="385"/>
      <c r="D198" s="385"/>
      <c r="E198" s="385"/>
      <c r="F198" s="280"/>
    </row>
    <row r="199" spans="1:6">
      <c r="A199" s="279">
        <v>1</v>
      </c>
      <c r="B199" s="39" t="s">
        <v>172</v>
      </c>
      <c r="C199" s="95" t="s">
        <v>173</v>
      </c>
      <c r="E199" s="43">
        <v>1</v>
      </c>
      <c r="F199" s="43">
        <v>1</v>
      </c>
    </row>
    <row r="200" spans="1:6">
      <c r="A200" s="279">
        <v>2</v>
      </c>
      <c r="B200" s="39" t="s">
        <v>174</v>
      </c>
      <c r="C200" s="95" t="s">
        <v>178</v>
      </c>
      <c r="E200" s="43">
        <v>2</v>
      </c>
      <c r="F200" s="43">
        <v>2</v>
      </c>
    </row>
    <row r="201" spans="1:6">
      <c r="A201" s="279">
        <v>3</v>
      </c>
      <c r="B201" s="39" t="s">
        <v>175</v>
      </c>
      <c r="C201" s="95" t="s">
        <v>179</v>
      </c>
      <c r="E201" s="43">
        <v>1</v>
      </c>
      <c r="F201" s="43">
        <v>1</v>
      </c>
    </row>
    <row r="202" spans="1:6">
      <c r="A202" s="279">
        <v>4</v>
      </c>
      <c r="B202" s="39" t="s">
        <v>176</v>
      </c>
      <c r="C202" s="95" t="s">
        <v>180</v>
      </c>
      <c r="E202" s="43">
        <v>1</v>
      </c>
      <c r="F202" s="43">
        <v>1</v>
      </c>
    </row>
    <row r="203" spans="1:6">
      <c r="A203" s="279">
        <v>5</v>
      </c>
      <c r="B203" s="39" t="s">
        <v>177</v>
      </c>
      <c r="C203" s="95" t="s">
        <v>181</v>
      </c>
      <c r="E203" s="43">
        <v>1</v>
      </c>
      <c r="F203" s="43">
        <v>1</v>
      </c>
    </row>
    <row r="204" spans="1:6">
      <c r="A204" s="279">
        <v>6</v>
      </c>
      <c r="B204" s="39" t="s">
        <v>182</v>
      </c>
      <c r="C204" s="95" t="s">
        <v>183</v>
      </c>
      <c r="E204" s="43">
        <v>1</v>
      </c>
      <c r="F204" s="43">
        <v>1</v>
      </c>
    </row>
    <row r="205" spans="1:6">
      <c r="B205" s="39" t="s">
        <v>184</v>
      </c>
      <c r="C205" s="95" t="s">
        <v>185</v>
      </c>
      <c r="E205" s="43">
        <v>1</v>
      </c>
      <c r="F205" s="43">
        <v>1</v>
      </c>
    </row>
    <row r="206" spans="1:6">
      <c r="A206" s="279">
        <v>7</v>
      </c>
      <c r="B206" s="559" t="s">
        <v>799</v>
      </c>
      <c r="C206" s="559" t="s">
        <v>1402</v>
      </c>
      <c r="D206" s="559"/>
      <c r="E206" s="559">
        <v>0</v>
      </c>
      <c r="F206" s="559">
        <v>2</v>
      </c>
    </row>
    <row r="207" spans="1:6" ht="21" customHeight="1">
      <c r="A207" s="385" t="s">
        <v>1401</v>
      </c>
      <c r="B207" s="385"/>
      <c r="C207" s="385"/>
      <c r="D207" s="385"/>
      <c r="E207" s="385"/>
      <c r="F207" s="280"/>
    </row>
    <row r="208" spans="1:6">
      <c r="A208" s="279">
        <v>1</v>
      </c>
      <c r="B208" s="39">
        <v>478035</v>
      </c>
      <c r="C208" s="547" t="s">
        <v>155</v>
      </c>
      <c r="E208" s="279">
        <v>24</v>
      </c>
      <c r="F208" s="166">
        <v>24</v>
      </c>
    </row>
    <row r="209" spans="1:6">
      <c r="A209" s="279">
        <v>2</v>
      </c>
      <c r="B209" s="39">
        <v>477239</v>
      </c>
      <c r="C209" s="207" t="s">
        <v>156</v>
      </c>
      <c r="E209" s="279">
        <v>20</v>
      </c>
      <c r="F209" s="166">
        <v>20</v>
      </c>
    </row>
    <row r="210" spans="1:6">
      <c r="A210" s="279">
        <v>3</v>
      </c>
      <c r="B210" s="39" t="s">
        <v>433</v>
      </c>
      <c r="C210" s="207" t="s">
        <v>399</v>
      </c>
      <c r="E210" s="279">
        <v>2</v>
      </c>
      <c r="F210" s="166">
        <v>2</v>
      </c>
    </row>
    <row r="211" spans="1:6">
      <c r="A211" s="279">
        <v>4</v>
      </c>
      <c r="B211" s="39" t="s">
        <v>147</v>
      </c>
      <c r="C211" s="207" t="s">
        <v>157</v>
      </c>
      <c r="E211" s="279">
        <v>2</v>
      </c>
      <c r="F211" s="166">
        <v>2</v>
      </c>
    </row>
    <row r="212" spans="1:6">
      <c r="A212" s="279">
        <v>5</v>
      </c>
      <c r="B212" s="39" t="s">
        <v>9</v>
      </c>
      <c r="C212" s="207" t="s">
        <v>157</v>
      </c>
      <c r="E212" s="279">
        <v>2</v>
      </c>
      <c r="F212" s="166">
        <v>2</v>
      </c>
    </row>
    <row r="213" spans="1:6">
      <c r="A213" s="279">
        <v>6</v>
      </c>
      <c r="B213" s="39" t="s">
        <v>7</v>
      </c>
      <c r="C213" s="207" t="s">
        <v>158</v>
      </c>
      <c r="E213" s="279">
        <v>120</v>
      </c>
      <c r="F213" s="166">
        <v>120</v>
      </c>
    </row>
    <row r="214" spans="1:6">
      <c r="A214" s="279">
        <v>7</v>
      </c>
      <c r="B214" s="39" t="s">
        <v>8</v>
      </c>
      <c r="C214" s="547" t="s">
        <v>159</v>
      </c>
      <c r="E214" s="279">
        <v>30</v>
      </c>
      <c r="F214" s="166">
        <v>30</v>
      </c>
    </row>
    <row r="215" spans="1:6">
      <c r="A215" s="279">
        <v>8</v>
      </c>
      <c r="B215" s="39" t="s">
        <v>10</v>
      </c>
      <c r="C215" s="548" t="s">
        <v>160</v>
      </c>
      <c r="E215" s="279">
        <v>4</v>
      </c>
      <c r="F215" s="166">
        <v>4</v>
      </c>
    </row>
    <row r="216" spans="1:6">
      <c r="A216" s="279">
        <v>9</v>
      </c>
      <c r="B216" s="39" t="s">
        <v>11</v>
      </c>
      <c r="C216" s="548" t="s">
        <v>161</v>
      </c>
      <c r="E216" s="279">
        <v>4</v>
      </c>
      <c r="F216" s="166">
        <v>4</v>
      </c>
    </row>
    <row r="217" spans="1:6">
      <c r="A217" s="279">
        <v>10</v>
      </c>
      <c r="B217" s="39" t="s">
        <v>148</v>
      </c>
      <c r="C217" s="548" t="s">
        <v>160</v>
      </c>
      <c r="E217" s="279">
        <v>2</v>
      </c>
      <c r="F217" s="166">
        <v>2</v>
      </c>
    </row>
    <row r="218" spans="1:6">
      <c r="A218" s="279">
        <v>11</v>
      </c>
      <c r="B218" s="39" t="s">
        <v>13</v>
      </c>
      <c r="C218" s="548" t="s">
        <v>162</v>
      </c>
      <c r="E218" s="279">
        <v>22</v>
      </c>
      <c r="F218" s="166">
        <v>22</v>
      </c>
    </row>
    <row r="219" spans="1:6">
      <c r="A219" s="279">
        <v>12</v>
      </c>
      <c r="B219" s="39" t="s">
        <v>149</v>
      </c>
      <c r="C219" s="548" t="s">
        <v>163</v>
      </c>
      <c r="E219" s="279">
        <v>4</v>
      </c>
      <c r="F219" s="166">
        <v>4</v>
      </c>
    </row>
    <row r="220" spans="1:6">
      <c r="A220" s="279">
        <v>13</v>
      </c>
      <c r="B220" s="39" t="s">
        <v>150</v>
      </c>
      <c r="C220" s="548" t="s">
        <v>163</v>
      </c>
      <c r="E220" s="279">
        <v>4</v>
      </c>
      <c r="F220" s="166">
        <v>4</v>
      </c>
    </row>
    <row r="221" spans="1:6">
      <c r="A221" s="279">
        <v>14</v>
      </c>
      <c r="B221" s="39" t="s">
        <v>14</v>
      </c>
      <c r="C221" s="207" t="s">
        <v>164</v>
      </c>
      <c r="E221" s="279">
        <v>8</v>
      </c>
      <c r="F221" s="166">
        <v>8</v>
      </c>
    </row>
    <row r="222" spans="1:6">
      <c r="A222" s="279">
        <v>15</v>
      </c>
      <c r="B222" s="39" t="s">
        <v>151</v>
      </c>
      <c r="C222" s="207" t="s">
        <v>165</v>
      </c>
      <c r="E222" s="279">
        <v>12</v>
      </c>
      <c r="F222" s="166">
        <v>12</v>
      </c>
    </row>
    <row r="223" spans="1:6">
      <c r="A223" s="279">
        <v>16</v>
      </c>
      <c r="B223" s="39" t="s">
        <v>152</v>
      </c>
      <c r="C223" s="207" t="s">
        <v>165</v>
      </c>
      <c r="E223" s="279">
        <v>12</v>
      </c>
      <c r="F223" s="166">
        <v>12</v>
      </c>
    </row>
    <row r="224" spans="1:6">
      <c r="A224" s="279">
        <v>17</v>
      </c>
      <c r="B224" s="39" t="s">
        <v>153</v>
      </c>
      <c r="C224" s="207" t="s">
        <v>166</v>
      </c>
      <c r="E224" s="279">
        <v>12</v>
      </c>
      <c r="F224" s="166">
        <v>12</v>
      </c>
    </row>
    <row r="225" spans="1:6">
      <c r="A225" s="279">
        <v>18</v>
      </c>
      <c r="B225" s="39" t="s">
        <v>15</v>
      </c>
      <c r="C225" s="207" t="s">
        <v>166</v>
      </c>
      <c r="E225" s="279">
        <v>12</v>
      </c>
      <c r="F225" s="166">
        <v>12</v>
      </c>
    </row>
    <row r="226" spans="1:6">
      <c r="A226" s="279">
        <v>19</v>
      </c>
      <c r="B226" s="39" t="s">
        <v>16</v>
      </c>
      <c r="C226" s="207" t="s">
        <v>166</v>
      </c>
      <c r="E226" s="279">
        <v>12</v>
      </c>
      <c r="F226" s="166">
        <v>12</v>
      </c>
    </row>
    <row r="227" spans="1:6">
      <c r="A227" s="279">
        <v>20</v>
      </c>
      <c r="B227" s="39" t="s">
        <v>17</v>
      </c>
      <c r="C227" s="549" t="s">
        <v>167</v>
      </c>
      <c r="E227" s="279">
        <v>24</v>
      </c>
      <c r="F227" s="166">
        <v>24</v>
      </c>
    </row>
    <row r="228" spans="1:6">
      <c r="A228" s="279">
        <v>21</v>
      </c>
      <c r="B228" s="39" t="s">
        <v>18</v>
      </c>
      <c r="C228" s="549" t="s">
        <v>167</v>
      </c>
      <c r="E228" s="279">
        <v>24</v>
      </c>
      <c r="F228" s="166">
        <v>24</v>
      </c>
    </row>
    <row r="229" spans="1:6">
      <c r="A229" s="279">
        <v>22</v>
      </c>
      <c r="B229" s="39" t="s">
        <v>19</v>
      </c>
      <c r="C229" s="207" t="s">
        <v>168</v>
      </c>
      <c r="E229" s="279">
        <v>6</v>
      </c>
      <c r="F229" s="166">
        <v>6</v>
      </c>
    </row>
    <row r="230" spans="1:6">
      <c r="A230" s="279">
        <v>23</v>
      </c>
      <c r="B230" s="39" t="s">
        <v>154</v>
      </c>
      <c r="C230" s="207" t="s">
        <v>168</v>
      </c>
      <c r="E230" s="279">
        <v>6</v>
      </c>
      <c r="F230" s="166">
        <v>6</v>
      </c>
    </row>
    <row r="231" spans="1:6">
      <c r="A231" s="279">
        <v>24</v>
      </c>
      <c r="B231" s="37" t="s">
        <v>169</v>
      </c>
      <c r="C231" s="594" t="s">
        <v>171</v>
      </c>
      <c r="E231" s="279">
        <v>9</v>
      </c>
      <c r="F231" s="166">
        <v>9</v>
      </c>
    </row>
    <row r="232" spans="1:6">
      <c r="A232" s="279">
        <v>25</v>
      </c>
      <c r="B232" s="44" t="s">
        <v>402</v>
      </c>
      <c r="C232" s="71" t="s">
        <v>383</v>
      </c>
      <c r="E232" s="279">
        <v>4</v>
      </c>
      <c r="F232" s="166">
        <v>4</v>
      </c>
    </row>
    <row r="233" spans="1:6">
      <c r="A233" s="279">
        <v>26</v>
      </c>
      <c r="B233" s="44" t="s">
        <v>403</v>
      </c>
      <c r="C233" s="71" t="s">
        <v>383</v>
      </c>
      <c r="E233" s="279">
        <v>4</v>
      </c>
      <c r="F233" s="166">
        <v>4</v>
      </c>
    </row>
    <row r="234" spans="1:6">
      <c r="A234" s="279">
        <v>27</v>
      </c>
      <c r="B234" s="44" t="s">
        <v>405</v>
      </c>
      <c r="C234" s="71" t="s">
        <v>384</v>
      </c>
      <c r="E234" s="279">
        <v>4</v>
      </c>
      <c r="F234" s="166">
        <v>4</v>
      </c>
    </row>
    <row r="235" spans="1:6">
      <c r="A235" s="279">
        <v>28</v>
      </c>
      <c r="B235" s="44" t="s">
        <v>404</v>
      </c>
      <c r="C235" s="71" t="s">
        <v>384</v>
      </c>
      <c r="E235" s="279">
        <v>4</v>
      </c>
      <c r="F235" s="166">
        <v>4</v>
      </c>
    </row>
    <row r="236" spans="1:6">
      <c r="A236" s="279">
        <v>29</v>
      </c>
      <c r="B236" s="37" t="s">
        <v>12</v>
      </c>
      <c r="C236" s="213" t="s">
        <v>383</v>
      </c>
      <c r="E236" s="279">
        <v>8</v>
      </c>
      <c r="F236" s="166">
        <v>8</v>
      </c>
    </row>
    <row r="237" spans="1:6">
      <c r="A237" s="279">
        <v>30</v>
      </c>
      <c r="B237" s="44" t="s">
        <v>406</v>
      </c>
      <c r="C237" s="71" t="s">
        <v>385</v>
      </c>
      <c r="E237" s="279">
        <v>6</v>
      </c>
      <c r="F237" s="166">
        <v>6</v>
      </c>
    </row>
    <row r="238" spans="1:6">
      <c r="A238" s="279">
        <v>31</v>
      </c>
      <c r="B238" s="44" t="s">
        <v>13</v>
      </c>
      <c r="C238" s="71" t="s">
        <v>407</v>
      </c>
      <c r="E238" s="279">
        <v>2</v>
      </c>
      <c r="F238" s="166">
        <v>2</v>
      </c>
    </row>
    <row r="239" spans="1:6">
      <c r="A239" s="279">
        <v>32</v>
      </c>
      <c r="B239" s="37" t="s">
        <v>408</v>
      </c>
      <c r="C239" s="213" t="s">
        <v>386</v>
      </c>
      <c r="E239" s="279">
        <v>6</v>
      </c>
      <c r="F239" s="166">
        <v>6</v>
      </c>
    </row>
    <row r="240" spans="1:6">
      <c r="A240" s="279">
        <v>33</v>
      </c>
      <c r="B240" s="44" t="s">
        <v>409</v>
      </c>
      <c r="C240" s="71" t="s">
        <v>387</v>
      </c>
      <c r="E240" s="279">
        <v>6</v>
      </c>
      <c r="F240" s="166">
        <v>6</v>
      </c>
    </row>
    <row r="241" spans="1:6">
      <c r="A241" s="279">
        <v>34</v>
      </c>
      <c r="B241" s="44" t="s">
        <v>410</v>
      </c>
      <c r="C241" s="71" t="s">
        <v>387</v>
      </c>
      <c r="E241" s="279">
        <v>6</v>
      </c>
      <c r="F241" s="166">
        <v>6</v>
      </c>
    </row>
    <row r="242" spans="1:6">
      <c r="A242" s="279">
        <v>35</v>
      </c>
      <c r="B242" s="37" t="s">
        <v>411</v>
      </c>
      <c r="C242" s="213" t="s">
        <v>388</v>
      </c>
      <c r="E242" s="279">
        <v>10</v>
      </c>
      <c r="F242" s="166">
        <v>10</v>
      </c>
    </row>
    <row r="243" spans="1:6">
      <c r="A243" s="279">
        <v>36</v>
      </c>
      <c r="B243" s="37" t="s">
        <v>412</v>
      </c>
      <c r="C243" s="213" t="s">
        <v>388</v>
      </c>
      <c r="E243" s="279">
        <v>10</v>
      </c>
      <c r="F243" s="166">
        <v>10</v>
      </c>
    </row>
    <row r="244" spans="1:6">
      <c r="A244" s="279">
        <v>37</v>
      </c>
      <c r="B244" s="37" t="s">
        <v>413</v>
      </c>
      <c r="C244" s="213" t="s">
        <v>389</v>
      </c>
      <c r="E244" s="279">
        <v>40</v>
      </c>
      <c r="F244" s="166">
        <v>40</v>
      </c>
    </row>
    <row r="245" spans="1:6">
      <c r="A245" s="279">
        <v>38</v>
      </c>
      <c r="B245" s="37" t="s">
        <v>414</v>
      </c>
      <c r="C245" s="213" t="s">
        <v>390</v>
      </c>
      <c r="E245" s="279">
        <v>40</v>
      </c>
      <c r="F245" s="166">
        <v>40</v>
      </c>
    </row>
    <row r="246" spans="1:6">
      <c r="A246" s="279">
        <v>39</v>
      </c>
      <c r="B246" s="37" t="s">
        <v>415</v>
      </c>
      <c r="C246" s="213" t="s">
        <v>390</v>
      </c>
      <c r="E246" s="279">
        <v>240</v>
      </c>
      <c r="F246" s="166">
        <v>240</v>
      </c>
    </row>
    <row r="247" spans="1:6">
      <c r="A247" s="279">
        <v>40</v>
      </c>
      <c r="B247" s="37" t="s">
        <v>416</v>
      </c>
      <c r="C247" s="213" t="s">
        <v>390</v>
      </c>
      <c r="E247" s="279">
        <v>40</v>
      </c>
      <c r="F247" s="166">
        <v>40</v>
      </c>
    </row>
    <row r="248" spans="1:6">
      <c r="A248" s="279">
        <v>41</v>
      </c>
      <c r="B248" s="37" t="s">
        <v>597</v>
      </c>
      <c r="C248" s="213" t="s">
        <v>390</v>
      </c>
      <c r="E248" s="279">
        <v>440</v>
      </c>
      <c r="F248" s="166">
        <v>440</v>
      </c>
    </row>
    <row r="249" spans="1:6">
      <c r="A249" s="279">
        <v>42</v>
      </c>
      <c r="B249" s="37" t="s">
        <v>417</v>
      </c>
      <c r="C249" s="213" t="s">
        <v>391</v>
      </c>
      <c r="E249" s="279">
        <v>120</v>
      </c>
      <c r="F249" s="166">
        <v>120</v>
      </c>
    </row>
    <row r="250" spans="1:6">
      <c r="A250" s="279">
        <v>43</v>
      </c>
      <c r="B250" s="37" t="s">
        <v>418</v>
      </c>
      <c r="C250" s="213" t="s">
        <v>595</v>
      </c>
      <c r="E250" s="279">
        <v>80</v>
      </c>
      <c r="F250" s="166">
        <v>80</v>
      </c>
    </row>
    <row r="251" spans="1:6">
      <c r="A251" s="279">
        <v>44</v>
      </c>
      <c r="B251" s="37" t="s">
        <v>419</v>
      </c>
      <c r="C251" s="213" t="s">
        <v>392</v>
      </c>
      <c r="E251" s="279">
        <v>87</v>
      </c>
      <c r="F251" s="166">
        <v>87</v>
      </c>
    </row>
    <row r="252" spans="1:6">
      <c r="A252" s="279">
        <v>45</v>
      </c>
      <c r="B252" s="44" t="s">
        <v>420</v>
      </c>
      <c r="C252" s="71" t="s">
        <v>393</v>
      </c>
      <c r="E252" s="279">
        <v>160</v>
      </c>
      <c r="F252" s="166">
        <v>160</v>
      </c>
    </row>
    <row r="253" spans="1:6">
      <c r="A253" s="279">
        <v>46</v>
      </c>
      <c r="B253" s="44">
        <v>474815</v>
      </c>
      <c r="C253" s="71" t="s">
        <v>394</v>
      </c>
      <c r="E253" s="279">
        <v>220</v>
      </c>
      <c r="F253" s="166">
        <v>220</v>
      </c>
    </row>
    <row r="254" spans="1:6">
      <c r="A254" s="279">
        <v>47</v>
      </c>
      <c r="B254" s="44">
        <v>475660</v>
      </c>
      <c r="C254" s="71" t="s">
        <v>395</v>
      </c>
      <c r="E254" s="279">
        <v>160</v>
      </c>
      <c r="F254" s="166">
        <v>160</v>
      </c>
    </row>
    <row r="255" spans="1:6">
      <c r="A255" s="279">
        <v>48</v>
      </c>
      <c r="B255" s="44">
        <v>477305</v>
      </c>
      <c r="C255" s="71" t="s">
        <v>396</v>
      </c>
      <c r="E255" s="279">
        <v>80</v>
      </c>
      <c r="F255" s="166">
        <v>80</v>
      </c>
    </row>
    <row r="256" spans="1:6">
      <c r="A256" s="279">
        <v>49</v>
      </c>
      <c r="B256" s="44">
        <v>478090</v>
      </c>
      <c r="C256" s="71" t="s">
        <v>594</v>
      </c>
      <c r="E256" s="279">
        <v>100</v>
      </c>
      <c r="F256" s="166">
        <v>100</v>
      </c>
    </row>
    <row r="257" spans="1:6">
      <c r="A257" s="279">
        <v>50</v>
      </c>
      <c r="B257" s="44" t="s">
        <v>421</v>
      </c>
      <c r="C257" s="71" t="s">
        <v>398</v>
      </c>
      <c r="E257" s="279">
        <v>80</v>
      </c>
      <c r="F257" s="166">
        <v>80</v>
      </c>
    </row>
    <row r="258" spans="1:6">
      <c r="A258" s="279">
        <v>51</v>
      </c>
      <c r="B258" s="44" t="s">
        <v>422</v>
      </c>
      <c r="C258" s="71" t="s">
        <v>398</v>
      </c>
      <c r="E258" s="279">
        <v>40</v>
      </c>
      <c r="F258" s="166">
        <v>40</v>
      </c>
    </row>
    <row r="259" spans="1:6">
      <c r="A259" s="279">
        <v>52</v>
      </c>
      <c r="B259" s="44" t="s">
        <v>423</v>
      </c>
      <c r="C259" s="71" t="s">
        <v>399</v>
      </c>
      <c r="E259" s="279">
        <v>60</v>
      </c>
      <c r="F259" s="166">
        <v>60</v>
      </c>
    </row>
    <row r="260" spans="1:6">
      <c r="A260" s="279">
        <v>53</v>
      </c>
      <c r="B260" s="44" t="s">
        <v>424</v>
      </c>
      <c r="C260" s="71" t="s">
        <v>399</v>
      </c>
      <c r="E260" s="279">
        <v>120</v>
      </c>
      <c r="F260" s="166">
        <v>120</v>
      </c>
    </row>
    <row r="261" spans="1:6">
      <c r="A261" s="279">
        <v>54</v>
      </c>
      <c r="B261" s="44" t="s">
        <v>425</v>
      </c>
      <c r="C261" s="71" t="s">
        <v>400</v>
      </c>
      <c r="E261" s="279">
        <v>160</v>
      </c>
      <c r="F261" s="166">
        <v>160</v>
      </c>
    </row>
    <row r="262" spans="1:6">
      <c r="A262" s="279">
        <v>55</v>
      </c>
      <c r="B262" s="44" t="s">
        <v>426</v>
      </c>
      <c r="C262" s="71" t="s">
        <v>396</v>
      </c>
      <c r="E262" s="279">
        <v>80</v>
      </c>
      <c r="F262" s="166">
        <v>80</v>
      </c>
    </row>
    <row r="263" spans="1:6">
      <c r="A263" s="279">
        <v>56</v>
      </c>
      <c r="B263" s="44" t="s">
        <v>427</v>
      </c>
      <c r="C263" s="71" t="s">
        <v>396</v>
      </c>
      <c r="E263" s="279">
        <v>70</v>
      </c>
      <c r="F263" s="166">
        <v>70</v>
      </c>
    </row>
    <row r="264" spans="1:6">
      <c r="A264" s="279">
        <v>57</v>
      </c>
      <c r="B264" s="44" t="s">
        <v>428</v>
      </c>
      <c r="C264" s="71" t="s">
        <v>397</v>
      </c>
      <c r="E264" s="279">
        <v>80</v>
      </c>
      <c r="F264" s="166">
        <v>80</v>
      </c>
    </row>
    <row r="265" spans="1:6">
      <c r="A265" s="279">
        <v>58</v>
      </c>
      <c r="B265" s="44" t="s">
        <v>429</v>
      </c>
      <c r="C265" s="71" t="s">
        <v>395</v>
      </c>
      <c r="E265" s="279">
        <v>220</v>
      </c>
      <c r="F265" s="166">
        <v>220</v>
      </c>
    </row>
    <row r="266" spans="1:6">
      <c r="A266" s="279">
        <v>59</v>
      </c>
      <c r="B266" s="44" t="s">
        <v>430</v>
      </c>
      <c r="C266" s="71" t="s">
        <v>395</v>
      </c>
      <c r="E266" s="279">
        <v>220</v>
      </c>
      <c r="F266" s="166">
        <v>220</v>
      </c>
    </row>
    <row r="267" spans="1:6">
      <c r="A267" s="279">
        <v>60</v>
      </c>
      <c r="B267" s="44" t="s">
        <v>598</v>
      </c>
      <c r="C267" s="71" t="s">
        <v>394</v>
      </c>
      <c r="E267" s="279">
        <v>280</v>
      </c>
      <c r="F267" s="166">
        <v>280</v>
      </c>
    </row>
    <row r="268" spans="1:6">
      <c r="A268" s="279">
        <v>61</v>
      </c>
      <c r="B268" s="44" t="s">
        <v>431</v>
      </c>
      <c r="C268" s="71" t="s">
        <v>600</v>
      </c>
      <c r="E268" s="279">
        <v>10</v>
      </c>
      <c r="F268" s="166">
        <v>10</v>
      </c>
    </row>
    <row r="269" spans="1:6">
      <c r="A269" s="279">
        <v>62</v>
      </c>
      <c r="B269" s="37" t="s">
        <v>432</v>
      </c>
      <c r="C269" s="213" t="s">
        <v>599</v>
      </c>
      <c r="E269" s="279">
        <v>20</v>
      </c>
      <c r="F269" s="166">
        <v>20</v>
      </c>
    </row>
    <row r="270" spans="1:6">
      <c r="A270" s="279">
        <v>63</v>
      </c>
      <c r="B270" s="44" t="s">
        <v>433</v>
      </c>
      <c r="C270" s="71" t="s">
        <v>399</v>
      </c>
      <c r="E270" s="279">
        <v>190</v>
      </c>
      <c r="F270" s="166">
        <v>190</v>
      </c>
    </row>
    <row r="271" spans="1:6">
      <c r="A271" s="279">
        <v>64</v>
      </c>
      <c r="B271" s="44" t="s">
        <v>434</v>
      </c>
      <c r="C271" s="71" t="s">
        <v>401</v>
      </c>
      <c r="E271" s="279">
        <v>220</v>
      </c>
      <c r="F271" s="166">
        <v>220</v>
      </c>
    </row>
    <row r="272" spans="1:6">
      <c r="A272" s="279">
        <v>65</v>
      </c>
      <c r="B272" s="44" t="s">
        <v>419</v>
      </c>
      <c r="C272" s="72" t="s">
        <v>436</v>
      </c>
      <c r="E272" s="279">
        <v>13</v>
      </c>
      <c r="F272" s="166">
        <v>13</v>
      </c>
    </row>
    <row r="273" spans="1:6">
      <c r="A273" s="559">
        <v>66</v>
      </c>
      <c r="B273" s="569" t="s">
        <v>775</v>
      </c>
      <c r="C273" s="573" t="s">
        <v>776</v>
      </c>
      <c r="D273" s="562"/>
      <c r="E273" s="559"/>
      <c r="F273" s="563">
        <v>4</v>
      </c>
    </row>
    <row r="274" spans="1:6">
      <c r="A274" s="559">
        <v>67</v>
      </c>
      <c r="B274" s="569"/>
      <c r="C274" s="573" t="s">
        <v>777</v>
      </c>
      <c r="D274" s="562"/>
      <c r="E274" s="559"/>
      <c r="F274" s="563" t="s">
        <v>783</v>
      </c>
    </row>
    <row r="275" spans="1:6">
      <c r="A275" s="559">
        <v>68</v>
      </c>
      <c r="B275" s="569"/>
      <c r="C275" s="573" t="s">
        <v>778</v>
      </c>
      <c r="D275" s="562"/>
      <c r="E275" s="559"/>
      <c r="F275" s="563">
        <v>4</v>
      </c>
    </row>
    <row r="276" spans="1:6">
      <c r="A276" s="559">
        <v>69</v>
      </c>
      <c r="B276" s="569"/>
      <c r="C276" s="573" t="s">
        <v>779</v>
      </c>
      <c r="D276" s="562"/>
      <c r="E276" s="559"/>
      <c r="F276" s="563" t="s">
        <v>784</v>
      </c>
    </row>
    <row r="277" spans="1:6">
      <c r="A277" s="559">
        <v>70</v>
      </c>
      <c r="B277" s="569"/>
      <c r="C277" s="573" t="s">
        <v>780</v>
      </c>
      <c r="D277" s="562"/>
      <c r="E277" s="559"/>
      <c r="F277" s="563">
        <v>2</v>
      </c>
    </row>
    <row r="278" spans="1:6">
      <c r="A278" s="559">
        <v>71</v>
      </c>
      <c r="B278" s="569"/>
      <c r="C278" s="573" t="s">
        <v>781</v>
      </c>
      <c r="D278" s="562"/>
      <c r="E278" s="559"/>
      <c r="F278" s="563">
        <v>4</v>
      </c>
    </row>
    <row r="279" spans="1:6">
      <c r="A279" s="559">
        <v>72</v>
      </c>
      <c r="B279" s="569"/>
      <c r="C279" s="573" t="s">
        <v>782</v>
      </c>
      <c r="D279" s="562"/>
      <c r="E279" s="559"/>
      <c r="F279" s="563" t="s">
        <v>785</v>
      </c>
    </row>
    <row r="280" spans="1:6" ht="18">
      <c r="A280" s="385" t="s">
        <v>877</v>
      </c>
      <c r="B280" s="385"/>
      <c r="C280" s="385"/>
      <c r="D280" s="385"/>
      <c r="E280" s="385"/>
      <c r="F280" s="280"/>
    </row>
    <row r="281" spans="1:6">
      <c r="A281" s="279">
        <v>1</v>
      </c>
      <c r="C281" s="266" t="s">
        <v>762</v>
      </c>
      <c r="F281" s="166">
        <v>5</v>
      </c>
    </row>
    <row r="282" spans="1:6">
      <c r="A282" s="279">
        <v>2</v>
      </c>
      <c r="C282" s="266" t="s">
        <v>763</v>
      </c>
      <c r="F282" s="166">
        <v>100</v>
      </c>
    </row>
    <row r="283" spans="1:6">
      <c r="A283" s="559">
        <v>3</v>
      </c>
      <c r="B283" s="562"/>
      <c r="C283" s="572" t="s">
        <v>827</v>
      </c>
      <c r="D283" s="562"/>
      <c r="E283" s="559"/>
      <c r="F283" s="559" t="s">
        <v>828</v>
      </c>
    </row>
    <row r="284" spans="1:6">
      <c r="A284" s="559">
        <v>4</v>
      </c>
      <c r="B284" s="562"/>
      <c r="C284" s="562" t="s">
        <v>830</v>
      </c>
      <c r="D284" s="562"/>
      <c r="E284" s="559"/>
      <c r="F284" s="563" t="s">
        <v>831</v>
      </c>
    </row>
    <row r="285" spans="1:6" ht="21" customHeight="1">
      <c r="A285" s="385" t="s">
        <v>878</v>
      </c>
      <c r="B285" s="385"/>
      <c r="C285" s="385"/>
      <c r="D285" s="385"/>
      <c r="E285" s="385"/>
      <c r="F285" s="280"/>
    </row>
    <row r="286" spans="1:6">
      <c r="A286" s="559">
        <v>1</v>
      </c>
      <c r="B286" s="563">
        <v>94221031</v>
      </c>
      <c r="C286" s="562" t="s">
        <v>757</v>
      </c>
      <c r="D286" s="562"/>
      <c r="E286" s="559">
        <v>1</v>
      </c>
      <c r="F286" s="563">
        <v>2</v>
      </c>
    </row>
    <row r="287" spans="1:6">
      <c r="A287" s="559">
        <v>2</v>
      </c>
      <c r="B287" s="563">
        <v>94221033</v>
      </c>
      <c r="C287" s="562" t="s">
        <v>758</v>
      </c>
      <c r="D287" s="562"/>
      <c r="E287" s="559">
        <v>1</v>
      </c>
      <c r="F287" s="563">
        <v>2</v>
      </c>
    </row>
    <row r="288" spans="1:6">
      <c r="A288" s="559">
        <v>3</v>
      </c>
      <c r="B288" s="563">
        <v>64221028</v>
      </c>
      <c r="C288" s="562" t="s">
        <v>759</v>
      </c>
      <c r="D288" s="562"/>
      <c r="E288" s="559">
        <v>7</v>
      </c>
      <c r="F288" s="563">
        <v>24</v>
      </c>
    </row>
    <row r="289" spans="1:6">
      <c r="A289" s="559">
        <v>4</v>
      </c>
      <c r="B289" s="563">
        <v>94221029</v>
      </c>
      <c r="C289" s="562" t="s">
        <v>760</v>
      </c>
      <c r="D289" s="562"/>
      <c r="E289" s="559">
        <v>2</v>
      </c>
      <c r="F289" s="563">
        <v>24</v>
      </c>
    </row>
    <row r="290" spans="1:6">
      <c r="A290" s="559">
        <v>5</v>
      </c>
      <c r="B290" s="571" t="s">
        <v>775</v>
      </c>
      <c r="C290" s="562" t="s">
        <v>804</v>
      </c>
      <c r="D290" s="562"/>
      <c r="E290" s="559"/>
      <c r="F290" s="563">
        <v>2</v>
      </c>
    </row>
    <row r="291" spans="1:6">
      <c r="A291" s="559">
        <v>6</v>
      </c>
      <c r="B291" s="571"/>
      <c r="C291" s="562" t="s">
        <v>805</v>
      </c>
      <c r="D291" s="562"/>
      <c r="E291" s="559"/>
      <c r="F291" s="563">
        <v>1</v>
      </c>
    </row>
    <row r="292" spans="1:6" ht="18.75" customHeight="1">
      <c r="A292" s="385" t="s">
        <v>741</v>
      </c>
      <c r="B292" s="385"/>
      <c r="C292" s="385"/>
      <c r="D292" s="385"/>
      <c r="E292" s="385"/>
      <c r="F292" s="280"/>
    </row>
    <row r="293" spans="1:6">
      <c r="A293" s="279">
        <v>1</v>
      </c>
      <c r="B293" s="166" t="s">
        <v>742</v>
      </c>
      <c r="C293" s="1" t="s">
        <v>743</v>
      </c>
      <c r="E293" s="279">
        <v>25</v>
      </c>
      <c r="F293" s="166">
        <v>25</v>
      </c>
    </row>
    <row r="294" spans="1:6">
      <c r="A294" s="279">
        <v>2</v>
      </c>
      <c r="B294" s="166" t="s">
        <v>744</v>
      </c>
      <c r="C294" s="1" t="s">
        <v>745</v>
      </c>
      <c r="E294" s="279">
        <v>5</v>
      </c>
      <c r="F294" s="166">
        <v>5</v>
      </c>
    </row>
    <row r="295" spans="1:6">
      <c r="A295" s="279">
        <v>3</v>
      </c>
      <c r="B295" s="166" t="s">
        <v>746</v>
      </c>
      <c r="C295" s="1" t="s">
        <v>747</v>
      </c>
      <c r="E295" s="279">
        <v>50</v>
      </c>
      <c r="F295" s="166">
        <v>50</v>
      </c>
    </row>
    <row r="296" spans="1:6">
      <c r="A296" s="279">
        <v>4</v>
      </c>
      <c r="B296" s="166" t="s">
        <v>748</v>
      </c>
      <c r="C296" s="1" t="s">
        <v>749</v>
      </c>
      <c r="E296" s="279">
        <v>25</v>
      </c>
      <c r="F296" s="166">
        <v>25</v>
      </c>
    </row>
    <row r="297" spans="1:6">
      <c r="A297" s="279">
        <v>5</v>
      </c>
      <c r="B297" s="166" t="s">
        <v>750</v>
      </c>
      <c r="C297" s="1" t="s">
        <v>751</v>
      </c>
      <c r="E297" s="279">
        <v>4</v>
      </c>
      <c r="F297" s="166">
        <v>4</v>
      </c>
    </row>
    <row r="298" spans="1:6">
      <c r="A298" s="279">
        <v>6</v>
      </c>
      <c r="B298" s="166" t="s">
        <v>752</v>
      </c>
      <c r="C298" s="1" t="s">
        <v>753</v>
      </c>
      <c r="E298" s="279">
        <v>60</v>
      </c>
      <c r="F298" s="166">
        <v>60</v>
      </c>
    </row>
    <row r="299" spans="1:6">
      <c r="A299" s="279">
        <v>7</v>
      </c>
      <c r="B299" s="166" t="s">
        <v>754</v>
      </c>
      <c r="C299" s="1" t="s">
        <v>755</v>
      </c>
      <c r="E299" s="279">
        <v>60</v>
      </c>
      <c r="F299" s="166">
        <v>60</v>
      </c>
    </row>
    <row r="300" spans="1:6">
      <c r="A300" s="559">
        <v>8</v>
      </c>
      <c r="B300" s="569" t="s">
        <v>775</v>
      </c>
      <c r="C300" s="562" t="s">
        <v>800</v>
      </c>
      <c r="D300" s="562"/>
      <c r="E300" s="559"/>
      <c r="F300" s="563">
        <v>2</v>
      </c>
    </row>
    <row r="301" spans="1:6">
      <c r="A301" s="559">
        <v>9</v>
      </c>
      <c r="B301" s="569"/>
      <c r="C301" s="562" t="s">
        <v>801</v>
      </c>
      <c r="D301" s="562"/>
      <c r="E301" s="559"/>
      <c r="F301" s="563">
        <v>2</v>
      </c>
    </row>
    <row r="302" spans="1:6">
      <c r="A302" s="559">
        <v>10</v>
      </c>
      <c r="B302" s="569"/>
      <c r="C302" s="562" t="s">
        <v>802</v>
      </c>
      <c r="D302" s="562"/>
      <c r="E302" s="559"/>
      <c r="F302" s="563">
        <v>2</v>
      </c>
    </row>
    <row r="303" spans="1:6">
      <c r="A303" s="559">
        <v>11</v>
      </c>
      <c r="B303" s="569"/>
      <c r="C303" s="562" t="s">
        <v>803</v>
      </c>
      <c r="D303" s="562"/>
      <c r="E303" s="559"/>
      <c r="F303" s="563">
        <v>2</v>
      </c>
    </row>
    <row r="304" spans="1:6" ht="18">
      <c r="A304" s="385" t="s">
        <v>725</v>
      </c>
      <c r="B304" s="385"/>
      <c r="C304" s="385"/>
      <c r="D304" s="385"/>
      <c r="E304" s="385"/>
      <c r="F304" s="280"/>
    </row>
    <row r="305" spans="1:6">
      <c r="A305" s="76">
        <v>1</v>
      </c>
      <c r="B305" s="274">
        <v>94221151</v>
      </c>
      <c r="C305" s="274" t="s">
        <v>1137</v>
      </c>
      <c r="D305" s="242"/>
      <c r="E305" s="76">
        <v>3</v>
      </c>
      <c r="F305" s="589">
        <v>3</v>
      </c>
    </row>
    <row r="306" spans="1:6">
      <c r="A306" s="76">
        <v>2</v>
      </c>
      <c r="B306" s="274">
        <v>94221149</v>
      </c>
      <c r="C306" s="274" t="s">
        <v>727</v>
      </c>
      <c r="D306" s="242"/>
      <c r="E306" s="76">
        <v>2</v>
      </c>
      <c r="F306" s="589">
        <v>2</v>
      </c>
    </row>
    <row r="307" spans="1:6">
      <c r="A307" s="76">
        <v>3</v>
      </c>
      <c r="B307" s="274">
        <v>94221143</v>
      </c>
      <c r="C307" s="274" t="s">
        <v>728</v>
      </c>
      <c r="D307" s="242"/>
      <c r="E307" s="76">
        <v>1</v>
      </c>
      <c r="F307" s="589">
        <v>1</v>
      </c>
    </row>
    <row r="308" spans="1:6">
      <c r="A308" s="76">
        <v>4</v>
      </c>
      <c r="B308" s="274">
        <v>94221140</v>
      </c>
      <c r="C308" s="274" t="s">
        <v>729</v>
      </c>
      <c r="D308" s="242"/>
      <c r="E308" s="76">
        <v>1</v>
      </c>
      <c r="F308" s="589">
        <v>1</v>
      </c>
    </row>
    <row r="309" spans="1:6">
      <c r="A309" s="76">
        <v>5</v>
      </c>
      <c r="B309" s="274">
        <v>94221141</v>
      </c>
      <c r="C309" s="274" t="s">
        <v>730</v>
      </c>
      <c r="D309" s="242"/>
      <c r="E309" s="76">
        <v>3</v>
      </c>
      <c r="F309" s="589">
        <v>3</v>
      </c>
    </row>
    <row r="310" spans="1:6">
      <c r="A310" s="76">
        <v>6</v>
      </c>
      <c r="B310" s="274">
        <v>94221142</v>
      </c>
      <c r="C310" s="274" t="s">
        <v>1144</v>
      </c>
      <c r="D310" s="242"/>
      <c r="E310" s="76">
        <v>1</v>
      </c>
      <c r="F310" s="589">
        <v>1</v>
      </c>
    </row>
    <row r="311" spans="1:6">
      <c r="A311" s="76">
        <v>7</v>
      </c>
      <c r="B311" s="274">
        <v>94221144</v>
      </c>
      <c r="C311" s="274" t="s">
        <v>1146</v>
      </c>
      <c r="D311" s="242"/>
      <c r="E311" s="76">
        <v>1</v>
      </c>
      <c r="F311" s="589">
        <v>1</v>
      </c>
    </row>
    <row r="312" spans="1:6">
      <c r="A312" s="76">
        <v>8</v>
      </c>
      <c r="B312" s="274">
        <v>94221145</v>
      </c>
      <c r="C312" s="274" t="s">
        <v>733</v>
      </c>
      <c r="D312" s="242"/>
      <c r="E312" s="76">
        <v>1</v>
      </c>
      <c r="F312" s="589">
        <v>1</v>
      </c>
    </row>
    <row r="313" spans="1:6">
      <c r="A313" s="76">
        <v>9</v>
      </c>
      <c r="B313" s="274">
        <v>94221147</v>
      </c>
      <c r="C313" s="274" t="s">
        <v>734</v>
      </c>
      <c r="D313" s="242"/>
      <c r="E313" s="76">
        <v>8</v>
      </c>
      <c r="F313" s="589">
        <v>8</v>
      </c>
    </row>
    <row r="314" spans="1:6">
      <c r="A314" s="76">
        <v>10</v>
      </c>
      <c r="B314" s="274">
        <v>94221148</v>
      </c>
      <c r="C314" s="274" t="s">
        <v>735</v>
      </c>
      <c r="D314" s="242"/>
      <c r="E314" s="76">
        <v>7</v>
      </c>
      <c r="F314" s="589">
        <v>7</v>
      </c>
    </row>
    <row r="315" spans="1:6">
      <c r="A315" s="76">
        <v>11</v>
      </c>
      <c r="B315" s="274">
        <v>94221150</v>
      </c>
      <c r="C315" s="274" t="s">
        <v>736</v>
      </c>
      <c r="D315" s="242"/>
      <c r="E315" s="76">
        <v>2</v>
      </c>
      <c r="F315" s="589">
        <v>2</v>
      </c>
    </row>
    <row r="316" spans="1:6">
      <c r="A316" s="76">
        <v>12</v>
      </c>
      <c r="B316" s="274">
        <v>94221152</v>
      </c>
      <c r="C316" s="274" t="s">
        <v>737</v>
      </c>
      <c r="D316" s="242"/>
      <c r="E316" s="76">
        <v>1</v>
      </c>
      <c r="F316" s="589">
        <v>1</v>
      </c>
    </row>
    <row r="317" spans="1:6">
      <c r="A317" s="76">
        <v>13</v>
      </c>
      <c r="B317" s="274">
        <v>94221153</v>
      </c>
      <c r="C317" s="274" t="s">
        <v>738</v>
      </c>
      <c r="D317" s="242"/>
      <c r="E317" s="76">
        <v>1</v>
      </c>
      <c r="F317" s="589">
        <v>1</v>
      </c>
    </row>
    <row r="318" spans="1:6">
      <c r="A318" s="76">
        <v>14</v>
      </c>
      <c r="B318" s="274">
        <v>94221154</v>
      </c>
      <c r="C318" s="274" t="s">
        <v>739</v>
      </c>
      <c r="D318" s="242"/>
      <c r="E318" s="76">
        <v>1</v>
      </c>
      <c r="F318" s="589">
        <v>1</v>
      </c>
    </row>
    <row r="319" spans="1:6">
      <c r="A319" s="76">
        <v>15</v>
      </c>
      <c r="B319" s="274">
        <v>94221155</v>
      </c>
      <c r="C319" s="274" t="s">
        <v>740</v>
      </c>
      <c r="D319" s="242"/>
      <c r="E319" s="76">
        <v>1</v>
      </c>
      <c r="F319" s="589">
        <v>1</v>
      </c>
    </row>
    <row r="320" spans="1:6">
      <c r="A320" s="559">
        <v>16</v>
      </c>
      <c r="B320" s="590" t="s">
        <v>775</v>
      </c>
      <c r="C320" s="563" t="s">
        <v>806</v>
      </c>
      <c r="D320" s="562"/>
      <c r="E320" s="559"/>
      <c r="F320" s="596">
        <v>2</v>
      </c>
    </row>
    <row r="321" spans="1:6">
      <c r="A321" s="559">
        <v>17</v>
      </c>
      <c r="B321" s="591"/>
      <c r="C321" s="563" t="s">
        <v>1394</v>
      </c>
      <c r="D321" s="562"/>
      <c r="E321" s="559"/>
      <c r="F321" s="596" t="s">
        <v>783</v>
      </c>
    </row>
    <row r="322" spans="1:6">
      <c r="A322" s="559">
        <v>18</v>
      </c>
      <c r="B322" s="591"/>
      <c r="C322" s="563" t="s">
        <v>807</v>
      </c>
      <c r="D322" s="562"/>
      <c r="E322" s="559"/>
      <c r="F322" s="596">
        <v>4</v>
      </c>
    </row>
    <row r="323" spans="1:6">
      <c r="A323" s="559">
        <v>19</v>
      </c>
      <c r="B323" s="591"/>
      <c r="C323" s="563" t="s">
        <v>1395</v>
      </c>
      <c r="D323" s="562"/>
      <c r="E323" s="559"/>
      <c r="F323" s="596">
        <v>2</v>
      </c>
    </row>
    <row r="324" spans="1:6">
      <c r="A324" s="559">
        <v>20</v>
      </c>
      <c r="B324" s="591"/>
      <c r="C324" s="563" t="s">
        <v>1396</v>
      </c>
      <c r="D324" s="562"/>
      <c r="E324" s="559"/>
      <c r="F324" s="596">
        <v>2</v>
      </c>
    </row>
    <row r="325" spans="1:6">
      <c r="A325" s="559">
        <v>21</v>
      </c>
      <c r="B325" s="592"/>
      <c r="C325" s="563" t="s">
        <v>1397</v>
      </c>
      <c r="D325" s="562"/>
      <c r="E325" s="559"/>
      <c r="F325" s="596">
        <v>1</v>
      </c>
    </row>
    <row r="326" spans="1:6" ht="21" customHeight="1">
      <c r="A326" s="385" t="s">
        <v>690</v>
      </c>
      <c r="B326" s="385"/>
      <c r="C326" s="385"/>
      <c r="D326" s="385"/>
      <c r="E326" s="385"/>
      <c r="F326" s="280"/>
    </row>
    <row r="327" spans="1:6">
      <c r="A327" s="279">
        <v>1</v>
      </c>
      <c r="B327" s="166" t="s">
        <v>692</v>
      </c>
      <c r="C327" s="1" t="s">
        <v>693</v>
      </c>
      <c r="D327" s="166" t="s">
        <v>514</v>
      </c>
      <c r="E327" s="279">
        <v>32</v>
      </c>
      <c r="F327" s="279">
        <v>32</v>
      </c>
    </row>
    <row r="328" spans="1:6">
      <c r="A328" s="279">
        <v>2</v>
      </c>
      <c r="B328" s="166" t="s">
        <v>694</v>
      </c>
      <c r="C328" s="1" t="s">
        <v>695</v>
      </c>
      <c r="D328" s="166" t="s">
        <v>514</v>
      </c>
      <c r="E328" s="279">
        <v>220</v>
      </c>
      <c r="F328" s="279">
        <v>220</v>
      </c>
    </row>
    <row r="329" spans="1:6">
      <c r="A329" s="279">
        <v>3</v>
      </c>
      <c r="B329" s="166" t="s">
        <v>696</v>
      </c>
      <c r="C329" s="1" t="s">
        <v>697</v>
      </c>
      <c r="D329" s="166" t="s">
        <v>514</v>
      </c>
      <c r="E329" s="279">
        <v>192</v>
      </c>
      <c r="F329" s="279">
        <v>192</v>
      </c>
    </row>
    <row r="330" spans="1:6">
      <c r="A330" s="279">
        <v>4</v>
      </c>
      <c r="B330" s="166" t="s">
        <v>698</v>
      </c>
      <c r="C330" s="1" t="s">
        <v>699</v>
      </c>
      <c r="D330" s="166" t="s">
        <v>514</v>
      </c>
      <c r="E330" s="279">
        <v>160</v>
      </c>
      <c r="F330" s="279">
        <v>160</v>
      </c>
    </row>
    <row r="331" spans="1:6">
      <c r="A331" s="279">
        <v>5</v>
      </c>
      <c r="B331" s="166" t="s">
        <v>700</v>
      </c>
      <c r="C331" s="1" t="s">
        <v>701</v>
      </c>
      <c r="D331" s="166" t="s">
        <v>514</v>
      </c>
      <c r="E331" s="279">
        <v>32</v>
      </c>
      <c r="F331" s="279">
        <v>32</v>
      </c>
    </row>
    <row r="332" spans="1:6">
      <c r="A332" s="279">
        <v>6</v>
      </c>
      <c r="B332" s="166" t="s">
        <v>702</v>
      </c>
      <c r="C332" s="1" t="s">
        <v>703</v>
      </c>
      <c r="D332" s="166" t="s">
        <v>514</v>
      </c>
      <c r="E332" s="279">
        <v>32</v>
      </c>
      <c r="F332" s="279">
        <v>32</v>
      </c>
    </row>
    <row r="333" spans="1:6">
      <c r="A333" s="279">
        <v>7</v>
      </c>
      <c r="B333" s="166" t="s">
        <v>704</v>
      </c>
      <c r="C333" s="1" t="s">
        <v>705</v>
      </c>
      <c r="D333" s="166" t="s">
        <v>514</v>
      </c>
      <c r="E333" s="279">
        <v>32</v>
      </c>
      <c r="F333" s="279">
        <v>32</v>
      </c>
    </row>
    <row r="334" spans="1:6">
      <c r="A334" s="279">
        <v>8</v>
      </c>
      <c r="B334" s="166" t="s">
        <v>706</v>
      </c>
      <c r="C334" s="1" t="s">
        <v>707</v>
      </c>
      <c r="D334" s="166" t="s">
        <v>514</v>
      </c>
      <c r="E334" s="279">
        <v>32</v>
      </c>
      <c r="F334" s="279">
        <v>32</v>
      </c>
    </row>
    <row r="335" spans="1:6">
      <c r="A335" s="279">
        <v>9</v>
      </c>
      <c r="B335" s="166" t="s">
        <v>708</v>
      </c>
      <c r="C335" s="1" t="s">
        <v>709</v>
      </c>
      <c r="D335" s="166" t="s">
        <v>514</v>
      </c>
      <c r="E335" s="279">
        <v>128</v>
      </c>
      <c r="F335" s="279">
        <v>128</v>
      </c>
    </row>
    <row r="336" spans="1:6">
      <c r="A336" s="279">
        <v>10</v>
      </c>
      <c r="B336" s="166" t="s">
        <v>710</v>
      </c>
      <c r="C336" s="1" t="s">
        <v>711</v>
      </c>
      <c r="D336" s="166" t="s">
        <v>514</v>
      </c>
      <c r="E336" s="279">
        <v>6</v>
      </c>
      <c r="F336" s="279">
        <v>6</v>
      </c>
    </row>
    <row r="337" spans="1:9">
      <c r="A337" s="279">
        <v>11</v>
      </c>
      <c r="B337" s="166" t="s">
        <v>712</v>
      </c>
      <c r="C337" s="1" t="s">
        <v>713</v>
      </c>
      <c r="D337" s="166" t="s">
        <v>514</v>
      </c>
      <c r="E337" s="279">
        <v>3</v>
      </c>
      <c r="F337" s="279">
        <v>3</v>
      </c>
      <c r="I337" s="404"/>
    </row>
    <row r="338" spans="1:9">
      <c r="A338" s="279">
        <v>12</v>
      </c>
      <c r="B338" s="166" t="s">
        <v>710</v>
      </c>
      <c r="C338" s="1" t="s">
        <v>711</v>
      </c>
      <c r="D338" s="166" t="s">
        <v>514</v>
      </c>
      <c r="E338" s="279">
        <v>26</v>
      </c>
      <c r="F338" s="279">
        <v>26</v>
      </c>
    </row>
    <row r="339" spans="1:9">
      <c r="A339" s="279">
        <v>13</v>
      </c>
      <c r="B339" s="166" t="s">
        <v>712</v>
      </c>
      <c r="C339" s="1" t="s">
        <v>713</v>
      </c>
      <c r="D339" s="166" t="s">
        <v>514</v>
      </c>
      <c r="E339" s="279">
        <v>13</v>
      </c>
      <c r="F339" s="279">
        <v>13</v>
      </c>
    </row>
    <row r="340" spans="1:9">
      <c r="A340" s="279">
        <v>14</v>
      </c>
      <c r="B340" s="166" t="s">
        <v>714</v>
      </c>
      <c r="C340" s="1" t="s">
        <v>715</v>
      </c>
      <c r="D340" s="166" t="s">
        <v>514</v>
      </c>
      <c r="E340" s="279" t="s">
        <v>716</v>
      </c>
      <c r="F340" s="279" t="s">
        <v>716</v>
      </c>
    </row>
    <row r="341" spans="1:9">
      <c r="A341" s="279">
        <v>15</v>
      </c>
      <c r="B341" s="166" t="s">
        <v>717</v>
      </c>
      <c r="C341" s="1" t="s">
        <v>718</v>
      </c>
      <c r="D341" s="166" t="s">
        <v>514</v>
      </c>
      <c r="E341" s="279">
        <v>80</v>
      </c>
      <c r="F341" s="279">
        <v>80</v>
      </c>
    </row>
    <row r="342" spans="1:9">
      <c r="A342" s="279">
        <v>16</v>
      </c>
      <c r="B342" s="166" t="s">
        <v>719</v>
      </c>
      <c r="C342" s="1" t="s">
        <v>720</v>
      </c>
      <c r="D342" s="166" t="s">
        <v>514</v>
      </c>
      <c r="E342" s="279">
        <v>40</v>
      </c>
      <c r="F342" s="279">
        <v>40</v>
      </c>
    </row>
    <row r="343" spans="1:9">
      <c r="A343" s="279">
        <v>17</v>
      </c>
      <c r="B343" s="166" t="s">
        <v>721</v>
      </c>
      <c r="C343" s="1" t="s">
        <v>722</v>
      </c>
      <c r="D343" s="166" t="s">
        <v>514</v>
      </c>
      <c r="E343" s="279">
        <v>336</v>
      </c>
      <c r="F343" s="279">
        <v>336</v>
      </c>
    </row>
    <row r="344" spans="1:9">
      <c r="A344" s="279">
        <v>18</v>
      </c>
      <c r="B344" s="166" t="s">
        <v>723</v>
      </c>
      <c r="C344" s="1" t="s">
        <v>724</v>
      </c>
      <c r="D344" s="166" t="s">
        <v>514</v>
      </c>
      <c r="E344" s="279">
        <v>303</v>
      </c>
      <c r="F344" s="279">
        <v>303</v>
      </c>
    </row>
    <row r="345" spans="1:9">
      <c r="A345" s="279">
        <v>19</v>
      </c>
      <c r="B345" s="166" t="s">
        <v>698</v>
      </c>
      <c r="C345" s="1" t="s">
        <v>699</v>
      </c>
      <c r="D345" s="166" t="s">
        <v>514</v>
      </c>
      <c r="E345" s="279">
        <v>1</v>
      </c>
      <c r="F345" s="279">
        <v>1</v>
      </c>
    </row>
    <row r="346" spans="1:9">
      <c r="B346" s="166"/>
      <c r="D346" s="166"/>
      <c r="F346" s="279"/>
    </row>
    <row r="347" spans="1:9" s="405" customFormat="1" ht="25.5" customHeight="1">
      <c r="A347" s="385" t="s">
        <v>880</v>
      </c>
      <c r="B347" s="385"/>
      <c r="C347" s="385"/>
      <c r="D347" s="385"/>
      <c r="E347" s="385"/>
      <c r="F347" s="280"/>
    </row>
    <row r="348" spans="1:9">
      <c r="A348" s="279">
        <v>1</v>
      </c>
      <c r="B348" s="39" t="s">
        <v>65</v>
      </c>
      <c r="C348" s="36" t="s">
        <v>120</v>
      </c>
      <c r="E348" s="279">
        <v>1</v>
      </c>
      <c r="F348" s="166">
        <v>1</v>
      </c>
    </row>
    <row r="349" spans="1:9">
      <c r="A349" s="559">
        <v>2</v>
      </c>
      <c r="B349" s="560" t="s">
        <v>66</v>
      </c>
      <c r="C349" s="561" t="s">
        <v>121</v>
      </c>
      <c r="D349" s="562"/>
      <c r="E349" s="559">
        <v>1</v>
      </c>
      <c r="F349" s="563">
        <v>2</v>
      </c>
    </row>
    <row r="350" spans="1:9">
      <c r="A350" s="559">
        <v>3</v>
      </c>
      <c r="B350" s="560" t="s">
        <v>67</v>
      </c>
      <c r="C350" s="561" t="s">
        <v>122</v>
      </c>
      <c r="D350" s="562"/>
      <c r="E350" s="559">
        <v>1</v>
      </c>
      <c r="F350" s="563">
        <v>4</v>
      </c>
    </row>
    <row r="351" spans="1:9">
      <c r="A351" s="279">
        <v>4</v>
      </c>
      <c r="B351" s="39" t="s">
        <v>68</v>
      </c>
      <c r="C351" s="36" t="s">
        <v>123</v>
      </c>
      <c r="E351" s="279">
        <v>1</v>
      </c>
      <c r="F351" s="166">
        <v>1</v>
      </c>
    </row>
    <row r="352" spans="1:9">
      <c r="A352" s="559">
        <v>5</v>
      </c>
      <c r="B352" s="560" t="s">
        <v>69</v>
      </c>
      <c r="C352" s="564" t="s">
        <v>121</v>
      </c>
      <c r="D352" s="562"/>
      <c r="E352" s="559">
        <v>1</v>
      </c>
      <c r="F352" s="563">
        <v>4</v>
      </c>
    </row>
    <row r="353" spans="1:6">
      <c r="A353" s="279">
        <v>6</v>
      </c>
      <c r="B353" s="39" t="s">
        <v>70</v>
      </c>
      <c r="C353" s="40" t="s">
        <v>124</v>
      </c>
      <c r="E353" s="279">
        <v>1</v>
      </c>
      <c r="F353" s="166">
        <v>1</v>
      </c>
    </row>
    <row r="354" spans="1:6">
      <c r="A354" s="559">
        <v>7</v>
      </c>
      <c r="B354" s="560" t="s">
        <v>71</v>
      </c>
      <c r="C354" s="564" t="s">
        <v>125</v>
      </c>
      <c r="D354" s="562"/>
      <c r="E354" s="559">
        <v>1</v>
      </c>
      <c r="F354" s="563">
        <v>2</v>
      </c>
    </row>
    <row r="355" spans="1:6">
      <c r="A355" s="559">
        <v>8</v>
      </c>
      <c r="B355" s="560" t="s">
        <v>72</v>
      </c>
      <c r="C355" s="564" t="s">
        <v>125</v>
      </c>
      <c r="D355" s="562"/>
      <c r="E355" s="559">
        <v>1</v>
      </c>
      <c r="F355" s="563">
        <v>2</v>
      </c>
    </row>
    <row r="356" spans="1:6">
      <c r="A356" s="279">
        <v>9</v>
      </c>
      <c r="B356" s="39" t="s">
        <v>73</v>
      </c>
      <c r="C356" s="40" t="s">
        <v>126</v>
      </c>
      <c r="E356" s="279">
        <v>1</v>
      </c>
      <c r="F356" s="166">
        <v>1</v>
      </c>
    </row>
    <row r="357" spans="1:6">
      <c r="A357" s="279">
        <v>10</v>
      </c>
      <c r="B357" s="39" t="s">
        <v>74</v>
      </c>
      <c r="C357" s="40" t="s">
        <v>126</v>
      </c>
      <c r="E357" s="279">
        <v>1</v>
      </c>
      <c r="F357" s="166">
        <v>1</v>
      </c>
    </row>
    <row r="358" spans="1:6">
      <c r="A358" s="559">
        <v>11</v>
      </c>
      <c r="B358" s="560" t="s">
        <v>75</v>
      </c>
      <c r="C358" s="565" t="s">
        <v>127</v>
      </c>
      <c r="D358" s="562"/>
      <c r="E358" s="559">
        <v>2</v>
      </c>
      <c r="F358" s="563">
        <v>4</v>
      </c>
    </row>
    <row r="359" spans="1:6">
      <c r="A359" s="279">
        <v>12</v>
      </c>
      <c r="B359" s="39" t="s">
        <v>76</v>
      </c>
      <c r="C359" s="36" t="s">
        <v>128</v>
      </c>
      <c r="E359" s="279">
        <v>1</v>
      </c>
      <c r="F359" s="166">
        <v>1</v>
      </c>
    </row>
    <row r="360" spans="1:6">
      <c r="A360" s="279">
        <v>13</v>
      </c>
      <c r="B360" s="39" t="s">
        <v>77</v>
      </c>
      <c r="C360" s="36" t="s">
        <v>128</v>
      </c>
      <c r="E360" s="279">
        <v>1</v>
      </c>
      <c r="F360" s="166">
        <v>1</v>
      </c>
    </row>
    <row r="361" spans="1:6">
      <c r="A361" s="279">
        <v>14</v>
      </c>
      <c r="B361" s="39" t="s">
        <v>78</v>
      </c>
      <c r="C361" s="36" t="s">
        <v>128</v>
      </c>
      <c r="E361" s="279">
        <v>1</v>
      </c>
      <c r="F361" s="166">
        <v>1</v>
      </c>
    </row>
    <row r="362" spans="1:6">
      <c r="A362" s="279">
        <v>15</v>
      </c>
      <c r="B362" s="39" t="s">
        <v>79</v>
      </c>
      <c r="C362" s="36" t="s">
        <v>129</v>
      </c>
      <c r="E362" s="279">
        <v>1</v>
      </c>
      <c r="F362" s="166">
        <v>1</v>
      </c>
    </row>
    <row r="363" spans="1:6">
      <c r="A363" s="279">
        <v>16</v>
      </c>
      <c r="B363" s="39" t="s">
        <v>80</v>
      </c>
      <c r="C363" s="36" t="s">
        <v>129</v>
      </c>
      <c r="E363" s="279">
        <v>1</v>
      </c>
      <c r="F363" s="166">
        <v>1</v>
      </c>
    </row>
    <row r="364" spans="1:6">
      <c r="A364" s="279">
        <v>17</v>
      </c>
      <c r="B364" s="39" t="s">
        <v>81</v>
      </c>
      <c r="C364" s="36" t="s">
        <v>129</v>
      </c>
      <c r="E364" s="279">
        <v>1</v>
      </c>
      <c r="F364" s="166">
        <v>1</v>
      </c>
    </row>
    <row r="365" spans="1:6">
      <c r="A365" s="559">
        <v>18</v>
      </c>
      <c r="B365" s="560" t="s">
        <v>82</v>
      </c>
      <c r="C365" s="561" t="s">
        <v>129</v>
      </c>
      <c r="D365" s="562"/>
      <c r="E365" s="559">
        <v>1</v>
      </c>
      <c r="F365" s="563">
        <v>2</v>
      </c>
    </row>
    <row r="366" spans="1:6">
      <c r="A366" s="279">
        <v>19</v>
      </c>
      <c r="B366" s="39" t="s">
        <v>83</v>
      </c>
      <c r="C366" s="36" t="s">
        <v>129</v>
      </c>
      <c r="E366" s="279">
        <v>1</v>
      </c>
      <c r="F366" s="166">
        <v>1</v>
      </c>
    </row>
    <row r="367" spans="1:6" ht="30">
      <c r="A367" s="559">
        <v>20</v>
      </c>
      <c r="B367" s="560" t="s">
        <v>84</v>
      </c>
      <c r="C367" s="561" t="s">
        <v>130</v>
      </c>
      <c r="D367" s="562"/>
      <c r="E367" s="559">
        <v>1</v>
      </c>
      <c r="F367" s="570" t="s">
        <v>765</v>
      </c>
    </row>
    <row r="368" spans="1:6">
      <c r="A368" s="279">
        <v>21</v>
      </c>
      <c r="B368" s="39" t="s">
        <v>85</v>
      </c>
      <c r="C368" s="36" t="s">
        <v>131</v>
      </c>
      <c r="E368" s="279">
        <v>1</v>
      </c>
      <c r="F368" s="166">
        <v>1</v>
      </c>
    </row>
    <row r="369" spans="1:6">
      <c r="A369" s="279">
        <v>22</v>
      </c>
      <c r="B369" s="39" t="s">
        <v>86</v>
      </c>
      <c r="C369" s="36" t="s">
        <v>132</v>
      </c>
      <c r="E369" s="279">
        <v>1</v>
      </c>
      <c r="F369" s="166">
        <v>1</v>
      </c>
    </row>
    <row r="370" spans="1:6">
      <c r="A370" s="279">
        <v>23</v>
      </c>
      <c r="B370" s="39" t="s">
        <v>87</v>
      </c>
      <c r="C370" s="36" t="s">
        <v>131</v>
      </c>
      <c r="E370" s="279">
        <v>1</v>
      </c>
      <c r="F370" s="166">
        <v>1</v>
      </c>
    </row>
    <row r="371" spans="1:6">
      <c r="A371" s="279">
        <v>24</v>
      </c>
      <c r="B371" s="39" t="s">
        <v>88</v>
      </c>
      <c r="C371" s="36" t="s">
        <v>131</v>
      </c>
      <c r="E371" s="279">
        <v>1</v>
      </c>
      <c r="F371" s="166">
        <v>1</v>
      </c>
    </row>
    <row r="372" spans="1:6">
      <c r="A372" s="279">
        <v>25</v>
      </c>
      <c r="B372" s="39" t="s">
        <v>89</v>
      </c>
      <c r="C372" s="36" t="s">
        <v>131</v>
      </c>
      <c r="E372" s="279">
        <v>1</v>
      </c>
      <c r="F372" s="166">
        <v>1</v>
      </c>
    </row>
    <row r="373" spans="1:6">
      <c r="A373" s="279">
        <v>26</v>
      </c>
      <c r="B373" s="39" t="s">
        <v>90</v>
      </c>
      <c r="C373" s="36" t="s">
        <v>131</v>
      </c>
      <c r="E373" s="279">
        <v>1</v>
      </c>
      <c r="F373" s="166">
        <v>1</v>
      </c>
    </row>
    <row r="374" spans="1:6">
      <c r="A374" s="279">
        <v>27</v>
      </c>
      <c r="B374" s="39" t="s">
        <v>91</v>
      </c>
      <c r="C374" s="36" t="s">
        <v>131</v>
      </c>
      <c r="E374" s="279">
        <v>1</v>
      </c>
      <c r="F374" s="166">
        <v>1</v>
      </c>
    </row>
    <row r="375" spans="1:6">
      <c r="A375" s="279">
        <v>28</v>
      </c>
      <c r="B375" s="39" t="s">
        <v>92</v>
      </c>
      <c r="C375" s="36" t="s">
        <v>131</v>
      </c>
      <c r="E375" s="279">
        <v>1</v>
      </c>
      <c r="F375" s="166">
        <v>1</v>
      </c>
    </row>
    <row r="376" spans="1:6">
      <c r="A376" s="279">
        <v>29</v>
      </c>
      <c r="B376" s="39" t="s">
        <v>93</v>
      </c>
      <c r="C376" s="36" t="s">
        <v>131</v>
      </c>
      <c r="E376" s="279">
        <v>1</v>
      </c>
      <c r="F376" s="166">
        <v>1</v>
      </c>
    </row>
    <row r="377" spans="1:6">
      <c r="A377" s="279">
        <v>30</v>
      </c>
      <c r="B377" s="39" t="s">
        <v>94</v>
      </c>
      <c r="C377" s="41" t="s">
        <v>133</v>
      </c>
      <c r="E377" s="279">
        <v>1</v>
      </c>
      <c r="F377" s="166">
        <v>1</v>
      </c>
    </row>
    <row r="378" spans="1:6">
      <c r="A378" s="279">
        <v>31</v>
      </c>
      <c r="B378" s="39" t="s">
        <v>95</v>
      </c>
      <c r="C378" s="41" t="s">
        <v>133</v>
      </c>
      <c r="E378" s="279">
        <v>1</v>
      </c>
      <c r="F378" s="166">
        <v>1</v>
      </c>
    </row>
    <row r="379" spans="1:6">
      <c r="A379" s="279">
        <v>32</v>
      </c>
      <c r="B379" s="39" t="s">
        <v>96</v>
      </c>
      <c r="C379" s="36" t="s">
        <v>134</v>
      </c>
      <c r="E379" s="279">
        <v>1</v>
      </c>
      <c r="F379" s="166">
        <v>1</v>
      </c>
    </row>
    <row r="380" spans="1:6">
      <c r="A380" s="279">
        <v>33</v>
      </c>
      <c r="B380" s="39" t="s">
        <v>97</v>
      </c>
      <c r="C380" s="41" t="s">
        <v>135</v>
      </c>
      <c r="E380" s="279">
        <v>1</v>
      </c>
      <c r="F380" s="166">
        <v>1</v>
      </c>
    </row>
    <row r="381" spans="1:6">
      <c r="A381" s="279">
        <v>34</v>
      </c>
      <c r="B381" s="37" t="s">
        <v>98</v>
      </c>
      <c r="C381" s="150" t="s">
        <v>578</v>
      </c>
      <c r="E381" s="279">
        <v>1</v>
      </c>
      <c r="F381" s="166">
        <v>1</v>
      </c>
    </row>
    <row r="382" spans="1:6">
      <c r="A382" s="279">
        <v>35</v>
      </c>
      <c r="B382" s="39" t="s">
        <v>99</v>
      </c>
      <c r="C382" s="36" t="s">
        <v>136</v>
      </c>
      <c r="E382" s="279">
        <v>1</v>
      </c>
      <c r="F382" s="166">
        <v>1</v>
      </c>
    </row>
    <row r="383" spans="1:6">
      <c r="A383" s="559">
        <v>36</v>
      </c>
      <c r="B383" s="560" t="s">
        <v>100</v>
      </c>
      <c r="C383" s="561" t="s">
        <v>130</v>
      </c>
      <c r="D383" s="562"/>
      <c r="E383" s="559">
        <v>1</v>
      </c>
      <c r="F383" s="563">
        <v>2</v>
      </c>
    </row>
    <row r="384" spans="1:6">
      <c r="A384" s="559">
        <v>37</v>
      </c>
      <c r="B384" s="560" t="s">
        <v>101</v>
      </c>
      <c r="C384" s="561" t="s">
        <v>137</v>
      </c>
      <c r="D384" s="562"/>
      <c r="E384" s="559">
        <v>1</v>
      </c>
      <c r="F384" s="563">
        <v>2</v>
      </c>
    </row>
    <row r="385" spans="1:6">
      <c r="A385" s="559">
        <v>38</v>
      </c>
      <c r="B385" s="560" t="s">
        <v>102</v>
      </c>
      <c r="C385" s="561" t="s">
        <v>137</v>
      </c>
      <c r="D385" s="562"/>
      <c r="E385" s="559">
        <v>1</v>
      </c>
      <c r="F385" s="563">
        <v>2</v>
      </c>
    </row>
    <row r="386" spans="1:6">
      <c r="A386" s="559">
        <v>39</v>
      </c>
      <c r="B386" s="560" t="s">
        <v>103</v>
      </c>
      <c r="C386" s="561" t="s">
        <v>137</v>
      </c>
      <c r="D386" s="562"/>
      <c r="E386" s="559">
        <v>1</v>
      </c>
      <c r="F386" s="563">
        <v>2</v>
      </c>
    </row>
    <row r="387" spans="1:6">
      <c r="A387" s="559">
        <v>40</v>
      </c>
      <c r="B387" s="560" t="s">
        <v>104</v>
      </c>
      <c r="C387" s="561" t="s">
        <v>137</v>
      </c>
      <c r="D387" s="562"/>
      <c r="E387" s="559">
        <v>1</v>
      </c>
      <c r="F387" s="563">
        <v>2</v>
      </c>
    </row>
    <row r="388" spans="1:6">
      <c r="A388" s="559">
        <v>41</v>
      </c>
      <c r="B388" s="560" t="s">
        <v>105</v>
      </c>
      <c r="C388" s="561" t="s">
        <v>137</v>
      </c>
      <c r="D388" s="562"/>
      <c r="E388" s="559">
        <v>1</v>
      </c>
      <c r="F388" s="563">
        <v>2</v>
      </c>
    </row>
    <row r="389" spans="1:6">
      <c r="A389" s="279">
        <v>42</v>
      </c>
      <c r="B389" s="39" t="s">
        <v>106</v>
      </c>
      <c r="C389" s="36" t="s">
        <v>138</v>
      </c>
      <c r="E389" s="279">
        <v>1</v>
      </c>
      <c r="F389" s="166">
        <v>1</v>
      </c>
    </row>
    <row r="390" spans="1:6">
      <c r="A390" s="279">
        <v>43</v>
      </c>
      <c r="B390" s="39" t="s">
        <v>107</v>
      </c>
      <c r="C390" s="36" t="s">
        <v>138</v>
      </c>
      <c r="E390" s="279">
        <v>1</v>
      </c>
      <c r="F390" s="166">
        <v>1</v>
      </c>
    </row>
    <row r="391" spans="1:6">
      <c r="A391" s="559">
        <v>44</v>
      </c>
      <c r="B391" s="560" t="s">
        <v>108</v>
      </c>
      <c r="C391" s="566" t="s">
        <v>139</v>
      </c>
      <c r="D391" s="562"/>
      <c r="E391" s="559">
        <v>1</v>
      </c>
      <c r="F391" s="563">
        <v>2</v>
      </c>
    </row>
    <row r="392" spans="1:6">
      <c r="A392" s="279">
        <v>45</v>
      </c>
      <c r="B392" s="39" t="s">
        <v>109</v>
      </c>
      <c r="C392" s="36" t="s">
        <v>140</v>
      </c>
      <c r="E392" s="279">
        <v>1</v>
      </c>
      <c r="F392" s="166">
        <v>1</v>
      </c>
    </row>
    <row r="393" spans="1:6">
      <c r="A393" s="279">
        <v>46</v>
      </c>
      <c r="B393" s="39" t="s">
        <v>110</v>
      </c>
      <c r="C393" s="36" t="s">
        <v>141</v>
      </c>
      <c r="E393" s="279">
        <v>1</v>
      </c>
      <c r="F393" s="166">
        <v>1</v>
      </c>
    </row>
    <row r="394" spans="1:6">
      <c r="A394" s="279">
        <v>47</v>
      </c>
      <c r="B394" s="39" t="s">
        <v>111</v>
      </c>
      <c r="C394" s="36" t="s">
        <v>141</v>
      </c>
      <c r="E394" s="279">
        <v>1</v>
      </c>
      <c r="F394" s="166">
        <v>1</v>
      </c>
    </row>
    <row r="395" spans="1:6">
      <c r="A395" s="279">
        <v>48</v>
      </c>
      <c r="B395" s="39" t="s">
        <v>112</v>
      </c>
      <c r="C395" s="36" t="s">
        <v>142</v>
      </c>
      <c r="E395" s="279">
        <v>2</v>
      </c>
      <c r="F395" s="166">
        <v>2</v>
      </c>
    </row>
    <row r="396" spans="1:6">
      <c r="A396" s="279">
        <v>49</v>
      </c>
      <c r="B396" s="39" t="s">
        <v>113</v>
      </c>
      <c r="C396" s="36" t="s">
        <v>143</v>
      </c>
      <c r="E396" s="279">
        <v>2</v>
      </c>
      <c r="F396" s="166">
        <v>2</v>
      </c>
    </row>
    <row r="397" spans="1:6">
      <c r="A397" s="279">
        <v>50</v>
      </c>
      <c r="B397" s="39" t="s">
        <v>114</v>
      </c>
      <c r="C397" s="36" t="s">
        <v>143</v>
      </c>
      <c r="E397" s="279">
        <v>2</v>
      </c>
      <c r="F397" s="166">
        <v>2</v>
      </c>
    </row>
    <row r="398" spans="1:6">
      <c r="A398" s="559">
        <v>51</v>
      </c>
      <c r="B398" s="560" t="s">
        <v>115</v>
      </c>
      <c r="C398" s="561" t="s">
        <v>144</v>
      </c>
      <c r="D398" s="562"/>
      <c r="E398" s="559">
        <v>0</v>
      </c>
      <c r="F398" s="563">
        <v>2</v>
      </c>
    </row>
    <row r="399" spans="1:6">
      <c r="A399" s="279">
        <v>52</v>
      </c>
      <c r="B399" s="37" t="s">
        <v>116</v>
      </c>
      <c r="C399" s="211" t="s">
        <v>145</v>
      </c>
      <c r="E399" s="279">
        <v>1</v>
      </c>
      <c r="F399" s="166">
        <v>1</v>
      </c>
    </row>
    <row r="400" spans="1:6">
      <c r="A400" s="279">
        <v>53</v>
      </c>
      <c r="B400" s="39" t="s">
        <v>117</v>
      </c>
      <c r="C400" s="36" t="s">
        <v>146</v>
      </c>
      <c r="E400" s="279">
        <v>1</v>
      </c>
      <c r="F400" s="166">
        <v>1</v>
      </c>
    </row>
    <row r="401" spans="1:6">
      <c r="A401" s="279">
        <v>54</v>
      </c>
      <c r="B401" s="39" t="s">
        <v>118</v>
      </c>
      <c r="C401" s="41" t="s">
        <v>125</v>
      </c>
      <c r="E401" s="279">
        <v>2</v>
      </c>
      <c r="F401" s="166">
        <v>2</v>
      </c>
    </row>
    <row r="402" spans="1:6">
      <c r="A402" s="559">
        <v>55</v>
      </c>
      <c r="B402" s="560" t="s">
        <v>119</v>
      </c>
      <c r="C402" s="561" t="s">
        <v>129</v>
      </c>
      <c r="D402" s="562"/>
      <c r="E402" s="559">
        <v>1</v>
      </c>
      <c r="F402" s="563">
        <v>2</v>
      </c>
    </row>
    <row r="403" spans="1:6">
      <c r="A403" s="279">
        <v>56</v>
      </c>
      <c r="B403" s="39" t="s">
        <v>186</v>
      </c>
      <c r="C403" s="34" t="s">
        <v>129</v>
      </c>
      <c r="E403" s="279">
        <v>1</v>
      </c>
      <c r="F403" s="166">
        <v>1</v>
      </c>
    </row>
    <row r="404" spans="1:6">
      <c r="A404" s="279">
        <v>57</v>
      </c>
      <c r="B404" s="39" t="s">
        <v>187</v>
      </c>
      <c r="C404" s="34" t="s">
        <v>131</v>
      </c>
      <c r="E404" s="279">
        <v>1</v>
      </c>
      <c r="F404" s="166">
        <v>1</v>
      </c>
    </row>
    <row r="405" spans="1:6">
      <c r="A405" s="279">
        <v>58</v>
      </c>
      <c r="B405" s="39" t="s">
        <v>188</v>
      </c>
      <c r="C405" s="34" t="s">
        <v>131</v>
      </c>
      <c r="E405" s="279">
        <v>1</v>
      </c>
      <c r="F405" s="166">
        <v>1</v>
      </c>
    </row>
    <row r="406" spans="1:6">
      <c r="A406" s="279">
        <v>59</v>
      </c>
      <c r="B406" s="39" t="s">
        <v>189</v>
      </c>
      <c r="C406" s="34" t="s">
        <v>131</v>
      </c>
      <c r="E406" s="279">
        <v>1</v>
      </c>
      <c r="F406" s="166">
        <v>1</v>
      </c>
    </row>
    <row r="407" spans="1:6">
      <c r="A407" s="279">
        <v>60</v>
      </c>
      <c r="B407" s="39" t="s">
        <v>190</v>
      </c>
      <c r="C407" s="34" t="s">
        <v>131</v>
      </c>
      <c r="E407" s="279">
        <v>1</v>
      </c>
      <c r="F407" s="166">
        <v>1</v>
      </c>
    </row>
    <row r="408" spans="1:6">
      <c r="A408" s="279">
        <v>61</v>
      </c>
      <c r="B408" s="39" t="s">
        <v>191</v>
      </c>
      <c r="C408" s="34" t="s">
        <v>560</v>
      </c>
      <c r="E408" s="279">
        <v>2</v>
      </c>
      <c r="F408" s="166">
        <v>2</v>
      </c>
    </row>
    <row r="409" spans="1:6">
      <c r="A409" s="559">
        <v>62</v>
      </c>
      <c r="B409" s="560" t="s">
        <v>192</v>
      </c>
      <c r="C409" s="567" t="s">
        <v>561</v>
      </c>
      <c r="D409" s="562"/>
      <c r="E409" s="559">
        <v>1</v>
      </c>
      <c r="F409" s="563">
        <v>2</v>
      </c>
    </row>
    <row r="410" spans="1:6">
      <c r="A410" s="559">
        <v>63</v>
      </c>
      <c r="B410" s="560" t="s">
        <v>193</v>
      </c>
      <c r="C410" s="567" t="s">
        <v>550</v>
      </c>
      <c r="D410" s="562"/>
      <c r="E410" s="559">
        <v>1</v>
      </c>
      <c r="F410" s="563">
        <v>2</v>
      </c>
    </row>
    <row r="411" spans="1:6">
      <c r="A411" s="279">
        <v>64</v>
      </c>
      <c r="B411" s="37" t="s">
        <v>194</v>
      </c>
      <c r="C411" s="42" t="s">
        <v>542</v>
      </c>
      <c r="E411" s="279">
        <v>2</v>
      </c>
      <c r="F411" s="166">
        <v>2</v>
      </c>
    </row>
    <row r="412" spans="1:6">
      <c r="A412" s="279">
        <v>65</v>
      </c>
      <c r="B412" s="39" t="s">
        <v>195</v>
      </c>
      <c r="C412" s="34" t="s">
        <v>197</v>
      </c>
      <c r="E412" s="279">
        <v>1</v>
      </c>
      <c r="F412" s="166">
        <v>1</v>
      </c>
    </row>
    <row r="413" spans="1:6">
      <c r="A413" s="279">
        <v>66</v>
      </c>
      <c r="B413" s="39" t="s">
        <v>196</v>
      </c>
      <c r="C413" s="34" t="s">
        <v>197</v>
      </c>
      <c r="E413" s="279">
        <v>1</v>
      </c>
      <c r="F413" s="166">
        <v>1</v>
      </c>
    </row>
    <row r="414" spans="1:6">
      <c r="A414" s="279">
        <v>67</v>
      </c>
      <c r="B414" s="39" t="s">
        <v>198</v>
      </c>
      <c r="C414" s="34" t="s">
        <v>199</v>
      </c>
      <c r="E414" s="279">
        <v>1</v>
      </c>
      <c r="F414" s="166">
        <v>1</v>
      </c>
    </row>
    <row r="415" spans="1:6">
      <c r="A415" s="559">
        <v>68</v>
      </c>
      <c r="B415" s="560" t="s">
        <v>200</v>
      </c>
      <c r="C415" s="567" t="s">
        <v>130</v>
      </c>
      <c r="D415" s="562"/>
      <c r="E415" s="559">
        <v>0</v>
      </c>
      <c r="F415" s="563">
        <v>1</v>
      </c>
    </row>
    <row r="416" spans="1:6">
      <c r="A416" s="559">
        <v>69</v>
      </c>
      <c r="B416" s="560" t="s">
        <v>201</v>
      </c>
      <c r="C416" s="567" t="s">
        <v>137</v>
      </c>
      <c r="D416" s="562"/>
      <c r="E416" s="559">
        <v>1</v>
      </c>
      <c r="F416" s="563">
        <v>2</v>
      </c>
    </row>
    <row r="417" spans="1:6">
      <c r="A417" s="559">
        <v>70</v>
      </c>
      <c r="B417" s="560" t="s">
        <v>202</v>
      </c>
      <c r="C417" s="567" t="s">
        <v>137</v>
      </c>
      <c r="D417" s="562"/>
      <c r="E417" s="559">
        <v>1</v>
      </c>
      <c r="F417" s="563">
        <v>2</v>
      </c>
    </row>
    <row r="418" spans="1:6">
      <c r="A418" s="279">
        <v>71</v>
      </c>
      <c r="B418" s="39" t="s">
        <v>203</v>
      </c>
      <c r="C418" s="34" t="s">
        <v>139</v>
      </c>
      <c r="E418" s="279">
        <v>1</v>
      </c>
      <c r="F418" s="166">
        <v>1</v>
      </c>
    </row>
    <row r="419" spans="1:6">
      <c r="A419" s="76">
        <v>72</v>
      </c>
      <c r="B419" s="37" t="s">
        <v>204</v>
      </c>
      <c r="C419" s="568" t="s">
        <v>205</v>
      </c>
      <c r="E419" s="279">
        <v>1</v>
      </c>
      <c r="F419" s="166">
        <v>1</v>
      </c>
    </row>
    <row r="420" spans="1:6">
      <c r="A420" s="279">
        <v>73</v>
      </c>
      <c r="B420" s="37" t="s">
        <v>206</v>
      </c>
      <c r="C420" s="42" t="s">
        <v>207</v>
      </c>
      <c r="E420" s="279">
        <v>1</v>
      </c>
      <c r="F420" s="166">
        <v>1</v>
      </c>
    </row>
    <row r="421" spans="1:6">
      <c r="A421" s="279">
        <v>74</v>
      </c>
      <c r="B421" s="37" t="s">
        <v>208</v>
      </c>
      <c r="C421" s="42" t="s">
        <v>145</v>
      </c>
      <c r="E421" s="279">
        <v>1</v>
      </c>
      <c r="F421" s="166">
        <v>1</v>
      </c>
    </row>
    <row r="422" spans="1:6">
      <c r="A422" s="279">
        <v>75</v>
      </c>
      <c r="B422" s="37" t="s">
        <v>209</v>
      </c>
      <c r="C422" s="42" t="s">
        <v>210</v>
      </c>
      <c r="E422" s="279">
        <v>1</v>
      </c>
      <c r="F422" s="166">
        <v>1</v>
      </c>
    </row>
    <row r="423" spans="1:6">
      <c r="A423" s="279">
        <v>76</v>
      </c>
      <c r="B423" s="37" t="s">
        <v>211</v>
      </c>
      <c r="C423" s="42" t="s">
        <v>210</v>
      </c>
      <c r="E423" s="279">
        <v>1</v>
      </c>
      <c r="F423" s="166">
        <v>1</v>
      </c>
    </row>
    <row r="424" spans="1:6">
      <c r="A424" s="559">
        <v>77</v>
      </c>
      <c r="B424" s="560" t="s">
        <v>212</v>
      </c>
      <c r="C424" s="567" t="s">
        <v>213</v>
      </c>
      <c r="D424" s="562"/>
      <c r="E424" s="559">
        <v>0</v>
      </c>
      <c r="F424" s="563">
        <v>4</v>
      </c>
    </row>
    <row r="425" spans="1:6">
      <c r="A425" s="559">
        <v>78</v>
      </c>
      <c r="B425" s="560" t="s">
        <v>214</v>
      </c>
      <c r="C425" s="567" t="s">
        <v>215</v>
      </c>
      <c r="D425" s="562"/>
      <c r="E425" s="559">
        <v>1</v>
      </c>
      <c r="F425" s="563">
        <v>2</v>
      </c>
    </row>
    <row r="426" spans="1:6">
      <c r="A426" s="76">
        <v>79</v>
      </c>
      <c r="B426" s="37" t="s">
        <v>216</v>
      </c>
      <c r="C426" s="42" t="s">
        <v>217</v>
      </c>
      <c r="E426" s="279">
        <v>1</v>
      </c>
      <c r="F426" s="166">
        <v>1</v>
      </c>
    </row>
    <row r="427" spans="1:6">
      <c r="A427" s="279">
        <v>80</v>
      </c>
      <c r="B427" s="37" t="s">
        <v>218</v>
      </c>
      <c r="C427" s="42" t="s">
        <v>217</v>
      </c>
      <c r="E427" s="279">
        <v>1</v>
      </c>
      <c r="F427" s="166">
        <v>1</v>
      </c>
    </row>
    <row r="428" spans="1:6">
      <c r="A428" s="279">
        <v>81</v>
      </c>
      <c r="B428" s="39" t="s">
        <v>219</v>
      </c>
      <c r="C428" s="34" t="s">
        <v>131</v>
      </c>
      <c r="E428" s="279">
        <v>1</v>
      </c>
      <c r="F428" s="166">
        <v>1</v>
      </c>
    </row>
    <row r="429" spans="1:6">
      <c r="A429" s="279">
        <v>82</v>
      </c>
      <c r="B429" s="39" t="s">
        <v>220</v>
      </c>
      <c r="C429" s="34" t="s">
        <v>221</v>
      </c>
      <c r="E429" s="279">
        <v>1</v>
      </c>
      <c r="F429" s="166">
        <v>1</v>
      </c>
    </row>
    <row r="430" spans="1:6">
      <c r="A430" s="279">
        <v>83</v>
      </c>
      <c r="B430" s="37" t="s">
        <v>580</v>
      </c>
      <c r="C430" s="42" t="s">
        <v>581</v>
      </c>
      <c r="E430" s="279">
        <v>2</v>
      </c>
      <c r="F430" s="166">
        <v>2</v>
      </c>
    </row>
    <row r="431" spans="1:6">
      <c r="A431" s="559">
        <v>84</v>
      </c>
      <c r="B431" s="563" t="s">
        <v>583</v>
      </c>
      <c r="C431" s="562" t="s">
        <v>584</v>
      </c>
      <c r="D431" s="562"/>
      <c r="E431" s="559">
        <v>1</v>
      </c>
      <c r="F431" s="563">
        <v>2</v>
      </c>
    </row>
    <row r="432" spans="1:6">
      <c r="A432" s="279">
        <v>85</v>
      </c>
      <c r="B432" s="166" t="s">
        <v>585</v>
      </c>
      <c r="C432" s="1" t="s">
        <v>586</v>
      </c>
      <c r="E432" s="279">
        <v>1</v>
      </c>
      <c r="F432" s="166">
        <v>1</v>
      </c>
    </row>
    <row r="433" spans="1:7">
      <c r="A433" s="279">
        <v>86</v>
      </c>
      <c r="B433" s="166" t="s">
        <v>587</v>
      </c>
      <c r="C433" s="1" t="s">
        <v>588</v>
      </c>
      <c r="E433" s="279">
        <v>1</v>
      </c>
      <c r="F433" s="166">
        <v>1</v>
      </c>
    </row>
    <row r="434" spans="1:7">
      <c r="A434" s="559">
        <v>87</v>
      </c>
      <c r="B434" s="563" t="s">
        <v>589</v>
      </c>
      <c r="C434" s="562" t="s">
        <v>590</v>
      </c>
      <c r="D434" s="562"/>
      <c r="E434" s="559">
        <v>2</v>
      </c>
      <c r="F434" s="563">
        <v>4</v>
      </c>
    </row>
    <row r="435" spans="1:7">
      <c r="A435" s="279">
        <v>88</v>
      </c>
      <c r="B435" s="166" t="s">
        <v>591</v>
      </c>
      <c r="C435" s="1" t="s">
        <v>601</v>
      </c>
      <c r="E435" s="279">
        <v>1</v>
      </c>
      <c r="F435" s="166">
        <v>1</v>
      </c>
    </row>
    <row r="436" spans="1:7">
      <c r="A436" s="279">
        <v>89</v>
      </c>
      <c r="B436" s="131" t="s">
        <v>1246</v>
      </c>
      <c r="C436" s="478" t="s">
        <v>1245</v>
      </c>
      <c r="E436" s="279" t="s">
        <v>1014</v>
      </c>
      <c r="F436" s="166">
        <v>1</v>
      </c>
    </row>
    <row r="437" spans="1:7">
      <c r="A437" s="559">
        <v>89</v>
      </c>
      <c r="B437" s="569" t="s">
        <v>775</v>
      </c>
      <c r="C437" s="562" t="s">
        <v>766</v>
      </c>
      <c r="D437" s="562"/>
      <c r="E437" s="559"/>
      <c r="F437" s="563">
        <v>2</v>
      </c>
    </row>
    <row r="438" spans="1:7">
      <c r="A438" s="559">
        <v>90</v>
      </c>
      <c r="B438" s="569"/>
      <c r="C438" s="562" t="s">
        <v>767</v>
      </c>
      <c r="D438" s="562"/>
      <c r="E438" s="559"/>
      <c r="F438" s="563">
        <v>2</v>
      </c>
    </row>
    <row r="439" spans="1:7">
      <c r="A439" s="559">
        <v>91</v>
      </c>
      <c r="B439" s="569"/>
      <c r="C439" s="562" t="s">
        <v>768</v>
      </c>
      <c r="D439" s="562"/>
      <c r="E439" s="559"/>
      <c r="F439" s="563">
        <v>2</v>
      </c>
    </row>
    <row r="440" spans="1:7">
      <c r="A440" s="559">
        <v>92</v>
      </c>
      <c r="B440" s="569"/>
      <c r="C440" s="562" t="s">
        <v>769</v>
      </c>
      <c r="D440" s="562"/>
      <c r="E440" s="559"/>
      <c r="F440" s="563">
        <v>2</v>
      </c>
    </row>
    <row r="441" spans="1:7">
      <c r="A441" s="559">
        <v>93</v>
      </c>
      <c r="B441" s="569"/>
      <c r="C441" s="562" t="s">
        <v>770</v>
      </c>
      <c r="D441" s="562"/>
      <c r="E441" s="559"/>
      <c r="F441" s="563">
        <v>4</v>
      </c>
    </row>
    <row r="442" spans="1:7">
      <c r="A442" s="559">
        <v>94</v>
      </c>
      <c r="B442" s="569"/>
      <c r="C442" s="562" t="s">
        <v>771</v>
      </c>
      <c r="D442" s="562"/>
      <c r="E442" s="559"/>
      <c r="F442" s="563">
        <v>2</v>
      </c>
    </row>
    <row r="443" spans="1:7">
      <c r="A443" s="559">
        <v>95</v>
      </c>
      <c r="B443" s="569"/>
      <c r="C443" s="562" t="s">
        <v>772</v>
      </c>
      <c r="D443" s="562"/>
      <c r="E443" s="559"/>
      <c r="F443" s="563">
        <v>4</v>
      </c>
    </row>
    <row r="444" spans="1:7">
      <c r="A444" s="559">
        <v>96</v>
      </c>
      <c r="B444" s="569"/>
      <c r="C444" s="562" t="s">
        <v>773</v>
      </c>
      <c r="D444" s="562"/>
      <c r="E444" s="559"/>
      <c r="F444" s="563">
        <v>1</v>
      </c>
    </row>
    <row r="445" spans="1:7">
      <c r="A445" s="559">
        <v>97</v>
      </c>
      <c r="B445" s="569"/>
      <c r="C445" s="562" t="s">
        <v>774</v>
      </c>
      <c r="D445" s="562"/>
      <c r="E445" s="559"/>
      <c r="F445" s="563">
        <v>1</v>
      </c>
    </row>
    <row r="446" spans="1:7" ht="27">
      <c r="A446" s="605" t="s">
        <v>879</v>
      </c>
      <c r="B446" s="605"/>
      <c r="C446" s="605"/>
      <c r="D446" s="605"/>
      <c r="E446" s="605"/>
      <c r="F446" s="605"/>
      <c r="G446" s="593"/>
    </row>
    <row r="447" spans="1:7" ht="15.75">
      <c r="A447" s="279">
        <v>1</v>
      </c>
      <c r="B447" s="11" t="s">
        <v>31</v>
      </c>
      <c r="C447" s="46" t="s">
        <v>29</v>
      </c>
      <c r="D447" s="35" t="s">
        <v>3</v>
      </c>
      <c r="E447" s="82">
        <v>2</v>
      </c>
      <c r="F447" s="82">
        <v>2</v>
      </c>
    </row>
    <row r="448" spans="1:7" ht="15.75">
      <c r="A448" s="279">
        <v>2</v>
      </c>
      <c r="B448" s="11" t="s">
        <v>30</v>
      </c>
      <c r="C448" s="46" t="s">
        <v>29</v>
      </c>
      <c r="D448" s="35" t="s">
        <v>3</v>
      </c>
      <c r="E448" s="82">
        <v>2</v>
      </c>
      <c r="F448" s="82">
        <v>2</v>
      </c>
    </row>
    <row r="449" spans="1:6" ht="15.75">
      <c r="A449" s="279">
        <v>3</v>
      </c>
      <c r="B449" s="11" t="s">
        <v>28</v>
      </c>
      <c r="C449" s="46" t="s">
        <v>276</v>
      </c>
      <c r="D449" s="35" t="s">
        <v>3</v>
      </c>
      <c r="E449" s="82">
        <v>12</v>
      </c>
      <c r="F449" s="82">
        <v>12</v>
      </c>
    </row>
    <row r="450" spans="1:6" ht="15.75">
      <c r="A450" s="279">
        <v>4</v>
      </c>
      <c r="B450" s="11" t="s">
        <v>27</v>
      </c>
      <c r="C450" s="46" t="s">
        <v>276</v>
      </c>
      <c r="D450" s="35" t="s">
        <v>3</v>
      </c>
      <c r="E450" s="82">
        <v>2</v>
      </c>
      <c r="F450" s="82">
        <v>2</v>
      </c>
    </row>
    <row r="451" spans="1:6" ht="15.75">
      <c r="A451" s="279">
        <v>5</v>
      </c>
      <c r="B451" s="11" t="s">
        <v>26</v>
      </c>
      <c r="C451" s="46" t="s">
        <v>276</v>
      </c>
      <c r="D451" s="35" t="s">
        <v>3</v>
      </c>
      <c r="E451" s="82">
        <v>4</v>
      </c>
      <c r="F451" s="82">
        <v>4</v>
      </c>
    </row>
    <row r="452" spans="1:6" ht="15.75">
      <c r="A452" s="279">
        <v>6</v>
      </c>
      <c r="B452" s="11" t="s">
        <v>24</v>
      </c>
      <c r="C452" s="46" t="s">
        <v>23</v>
      </c>
      <c r="D452" s="35" t="s">
        <v>3</v>
      </c>
      <c r="E452" s="82">
        <v>4</v>
      </c>
      <c r="F452" s="82">
        <v>4</v>
      </c>
    </row>
    <row r="453" spans="1:6" ht="15.75">
      <c r="A453" s="279">
        <v>7</v>
      </c>
      <c r="B453" s="11" t="s">
        <v>22</v>
      </c>
      <c r="C453" s="46" t="s">
        <v>21</v>
      </c>
      <c r="D453" s="35" t="s">
        <v>3</v>
      </c>
      <c r="E453" s="82">
        <v>4</v>
      </c>
      <c r="F453" s="82">
        <v>4</v>
      </c>
    </row>
    <row r="454" spans="1:6" ht="15.75">
      <c r="A454" s="279">
        <v>8</v>
      </c>
      <c r="B454" s="11" t="s">
        <v>32</v>
      </c>
      <c r="C454" s="46" t="s">
        <v>29</v>
      </c>
      <c r="D454" s="35" t="s">
        <v>4</v>
      </c>
      <c r="E454" s="82">
        <v>1</v>
      </c>
      <c r="F454" s="82">
        <v>1</v>
      </c>
    </row>
    <row r="455" spans="1:6" ht="15.75">
      <c r="A455" s="279">
        <v>9</v>
      </c>
      <c r="B455" s="11" t="s">
        <v>33</v>
      </c>
      <c r="C455" s="46" t="s">
        <v>34</v>
      </c>
      <c r="D455" s="35" t="s">
        <v>3</v>
      </c>
      <c r="E455" s="82">
        <v>5</v>
      </c>
      <c r="F455" s="82">
        <v>5</v>
      </c>
    </row>
    <row r="456" spans="1:6" ht="15.75">
      <c r="A456" s="279">
        <v>10</v>
      </c>
      <c r="B456" s="11" t="s">
        <v>35</v>
      </c>
      <c r="C456" s="46" t="s">
        <v>34</v>
      </c>
      <c r="D456" s="35" t="s">
        <v>3</v>
      </c>
      <c r="E456" s="83">
        <v>5</v>
      </c>
      <c r="F456" s="83">
        <v>5</v>
      </c>
    </row>
    <row r="457" spans="1:6" ht="15.75">
      <c r="A457" s="279">
        <v>11</v>
      </c>
      <c r="B457" s="11" t="s">
        <v>36</v>
      </c>
      <c r="C457" s="46" t="s">
        <v>34</v>
      </c>
      <c r="D457" s="35" t="s">
        <v>3</v>
      </c>
      <c r="E457" s="83">
        <v>5</v>
      </c>
      <c r="F457" s="83">
        <v>5</v>
      </c>
    </row>
    <row r="458" spans="1:6" ht="15.75">
      <c r="A458" s="279">
        <v>12</v>
      </c>
      <c r="B458" s="11" t="s">
        <v>37</v>
      </c>
      <c r="C458" s="36" t="s">
        <v>38</v>
      </c>
      <c r="D458" s="35" t="s">
        <v>3</v>
      </c>
      <c r="E458" s="83">
        <v>2</v>
      </c>
      <c r="F458" s="83">
        <v>2</v>
      </c>
    </row>
    <row r="459" spans="1:6" ht="15.75">
      <c r="A459" s="279">
        <v>13</v>
      </c>
      <c r="B459" s="11" t="s">
        <v>39</v>
      </c>
      <c r="C459" s="48" t="s">
        <v>40</v>
      </c>
      <c r="D459" s="35" t="s">
        <v>4</v>
      </c>
      <c r="E459" s="83">
        <v>1</v>
      </c>
      <c r="F459" s="83">
        <v>1</v>
      </c>
    </row>
    <row r="460" spans="1:6" ht="15.75">
      <c r="A460" s="279">
        <v>14</v>
      </c>
      <c r="B460" s="11" t="s">
        <v>42</v>
      </c>
      <c r="C460" s="48" t="s">
        <v>41</v>
      </c>
      <c r="D460" s="35" t="s">
        <v>3</v>
      </c>
      <c r="E460" s="83">
        <v>38</v>
      </c>
      <c r="F460" s="83">
        <v>38</v>
      </c>
    </row>
    <row r="461" spans="1:6" ht="15.75">
      <c r="A461" s="279">
        <v>15</v>
      </c>
      <c r="B461" s="11" t="s">
        <v>43</v>
      </c>
      <c r="C461" s="48" t="s">
        <v>40</v>
      </c>
      <c r="D461" s="35" t="s">
        <v>4</v>
      </c>
      <c r="E461" s="83">
        <v>1</v>
      </c>
      <c r="F461" s="83">
        <v>1</v>
      </c>
    </row>
    <row r="462" spans="1:6" ht="15.75">
      <c r="A462" s="279">
        <v>16</v>
      </c>
      <c r="B462" s="11" t="s">
        <v>42</v>
      </c>
      <c r="C462" s="48" t="s">
        <v>41</v>
      </c>
      <c r="D462" s="35" t="s">
        <v>3</v>
      </c>
      <c r="E462" s="83">
        <v>38</v>
      </c>
      <c r="F462" s="83">
        <v>38</v>
      </c>
    </row>
    <row r="463" spans="1:6" ht="15.75">
      <c r="A463" s="279">
        <v>17</v>
      </c>
      <c r="B463" s="11" t="s">
        <v>44</v>
      </c>
      <c r="C463" s="46" t="s">
        <v>29</v>
      </c>
      <c r="D463" s="35" t="s">
        <v>3</v>
      </c>
      <c r="E463" s="83">
        <v>2</v>
      </c>
      <c r="F463" s="83">
        <v>2</v>
      </c>
    </row>
    <row r="464" spans="1:6" ht="15.75">
      <c r="A464" s="279">
        <v>18</v>
      </c>
      <c r="B464" s="11" t="s">
        <v>45</v>
      </c>
      <c r="C464" s="46" t="s">
        <v>29</v>
      </c>
      <c r="D464" s="35" t="s">
        <v>3</v>
      </c>
      <c r="E464" s="83">
        <v>2</v>
      </c>
      <c r="F464" s="83">
        <v>2</v>
      </c>
    </row>
    <row r="465" spans="1:6" ht="15.75">
      <c r="A465" s="279">
        <v>19</v>
      </c>
      <c r="B465" s="11" t="s">
        <v>46</v>
      </c>
      <c r="C465" s="46" t="s">
        <v>29</v>
      </c>
      <c r="D465" s="35" t="s">
        <v>3</v>
      </c>
      <c r="E465" s="83">
        <v>2</v>
      </c>
      <c r="F465" s="83">
        <v>2</v>
      </c>
    </row>
    <row r="466" spans="1:6" ht="15.75">
      <c r="A466" s="279">
        <v>20</v>
      </c>
      <c r="B466" s="11" t="s">
        <v>47</v>
      </c>
      <c r="C466" s="46" t="s">
        <v>25</v>
      </c>
      <c r="D466" s="35" t="s">
        <v>3</v>
      </c>
      <c r="E466" s="83">
        <v>50</v>
      </c>
      <c r="F466" s="83">
        <v>50</v>
      </c>
    </row>
    <row r="467" spans="1:6" ht="15.75">
      <c r="A467" s="279">
        <v>21</v>
      </c>
      <c r="B467" s="11" t="s">
        <v>48</v>
      </c>
      <c r="C467" s="48" t="s">
        <v>49</v>
      </c>
      <c r="D467" s="35" t="s">
        <v>3</v>
      </c>
      <c r="E467" s="83">
        <v>2</v>
      </c>
      <c r="F467" s="83">
        <v>2</v>
      </c>
    </row>
    <row r="468" spans="1:6" ht="15.75">
      <c r="A468" s="279">
        <v>22</v>
      </c>
      <c r="B468" s="11" t="s">
        <v>50</v>
      </c>
      <c r="C468" s="46" t="s">
        <v>25</v>
      </c>
      <c r="D468" s="35" t="s">
        <v>3</v>
      </c>
      <c r="E468" s="83">
        <v>100</v>
      </c>
      <c r="F468" s="83">
        <v>100</v>
      </c>
    </row>
    <row r="469" spans="1:6" ht="15.75">
      <c r="A469" s="279">
        <v>23</v>
      </c>
      <c r="B469" s="11">
        <v>9160723001</v>
      </c>
      <c r="C469" s="48" t="s">
        <v>51</v>
      </c>
      <c r="D469" s="35" t="s">
        <v>3</v>
      </c>
      <c r="E469" s="83">
        <v>4</v>
      </c>
      <c r="F469" s="83">
        <v>4</v>
      </c>
    </row>
    <row r="470" spans="1:6" ht="15.75">
      <c r="A470" s="279">
        <v>24</v>
      </c>
      <c r="B470" s="11">
        <v>9150006101</v>
      </c>
      <c r="C470" s="48" t="s">
        <v>52</v>
      </c>
      <c r="D470" s="35" t="s">
        <v>3</v>
      </c>
      <c r="E470" s="83">
        <v>72</v>
      </c>
      <c r="F470" s="83">
        <v>72</v>
      </c>
    </row>
    <row r="471" spans="1:6" ht="15.75">
      <c r="A471" s="279">
        <v>25</v>
      </c>
      <c r="B471" s="11">
        <v>9160723101</v>
      </c>
      <c r="C471" s="48" t="s">
        <v>53</v>
      </c>
      <c r="D471" s="35" t="s">
        <v>3</v>
      </c>
      <c r="E471" s="83">
        <v>4</v>
      </c>
      <c r="F471" s="83">
        <v>4</v>
      </c>
    </row>
    <row r="472" spans="1:6" ht="15.75">
      <c r="A472" s="279">
        <v>26</v>
      </c>
      <c r="B472" s="11">
        <v>9150006201</v>
      </c>
      <c r="C472" s="48" t="s">
        <v>54</v>
      </c>
      <c r="D472" s="35" t="s">
        <v>3</v>
      </c>
      <c r="E472" s="83">
        <v>72</v>
      </c>
      <c r="F472" s="83">
        <v>72</v>
      </c>
    </row>
    <row r="473" spans="1:6" ht="15.75">
      <c r="A473" s="279">
        <v>27</v>
      </c>
      <c r="B473" s="11">
        <v>9140023101</v>
      </c>
      <c r="C473" s="36" t="s">
        <v>55</v>
      </c>
      <c r="D473" s="35" t="s">
        <v>3</v>
      </c>
      <c r="E473" s="83">
        <v>6</v>
      </c>
      <c r="F473" s="83">
        <v>6</v>
      </c>
    </row>
    <row r="474" spans="1:6" ht="15.75">
      <c r="A474" s="279">
        <v>28</v>
      </c>
      <c r="B474" s="11">
        <v>9150043113</v>
      </c>
      <c r="C474" s="41" t="s">
        <v>56</v>
      </c>
      <c r="D474" s="35" t="s">
        <v>3</v>
      </c>
      <c r="E474" s="83">
        <v>12</v>
      </c>
      <c r="F474" s="83">
        <v>12</v>
      </c>
    </row>
    <row r="475" spans="1:6" ht="15.75">
      <c r="A475" s="279">
        <v>29</v>
      </c>
      <c r="B475" s="11">
        <v>9150006224</v>
      </c>
      <c r="C475" s="41" t="s">
        <v>57</v>
      </c>
      <c r="D475" s="35" t="s">
        <v>3</v>
      </c>
      <c r="E475" s="83">
        <v>48</v>
      </c>
      <c r="F475" s="83">
        <v>48</v>
      </c>
    </row>
    <row r="476" spans="1:6" ht="15.75">
      <c r="A476" s="279">
        <v>30</v>
      </c>
      <c r="B476" s="11" t="s">
        <v>61</v>
      </c>
      <c r="C476" s="36" t="s">
        <v>58</v>
      </c>
      <c r="D476" s="35" t="s">
        <v>64</v>
      </c>
      <c r="E476" s="83">
        <v>3</v>
      </c>
      <c r="F476" s="83">
        <v>3</v>
      </c>
    </row>
    <row r="477" spans="1:6" ht="15.75">
      <c r="A477" s="279">
        <v>31</v>
      </c>
      <c r="B477" s="11" t="s">
        <v>62</v>
      </c>
      <c r="C477" s="36" t="s">
        <v>59</v>
      </c>
      <c r="D477" s="35" t="s">
        <v>3</v>
      </c>
      <c r="E477" s="83">
        <v>10</v>
      </c>
      <c r="F477" s="83">
        <v>10</v>
      </c>
    </row>
    <row r="478" spans="1:6" ht="15.75">
      <c r="A478" s="279">
        <v>32</v>
      </c>
      <c r="B478" s="11" t="s">
        <v>63</v>
      </c>
      <c r="C478" s="36" t="s">
        <v>60</v>
      </c>
      <c r="D478" s="35" t="s">
        <v>3</v>
      </c>
      <c r="E478" s="83">
        <v>10</v>
      </c>
      <c r="F478" s="83">
        <v>10</v>
      </c>
    </row>
    <row r="479" spans="1:6" s="4" customFormat="1">
      <c r="A479" s="279">
        <v>33</v>
      </c>
      <c r="B479" s="563" t="s">
        <v>775</v>
      </c>
      <c r="C479" s="604" t="s">
        <v>1403</v>
      </c>
      <c r="D479" s="35" t="s">
        <v>255</v>
      </c>
      <c r="E479" s="279">
        <v>1</v>
      </c>
      <c r="F479" s="166">
        <v>1</v>
      </c>
    </row>
    <row r="480" spans="1:6" s="4" customFormat="1">
      <c r="A480" s="5"/>
      <c r="E480" s="5"/>
      <c r="F480" s="555"/>
    </row>
    <row r="481" spans="1:6" s="4" customFormat="1">
      <c r="A481" s="5"/>
      <c r="E481" s="5"/>
      <c r="F481" s="555"/>
    </row>
    <row r="482" spans="1:6" s="4" customFormat="1">
      <c r="A482" s="5"/>
      <c r="E482" s="5"/>
      <c r="F482" s="555"/>
    </row>
    <row r="483" spans="1:6" s="4" customFormat="1">
      <c r="A483" s="5"/>
      <c r="E483" s="5"/>
      <c r="F483" s="555"/>
    </row>
    <row r="484" spans="1:6" s="4" customFormat="1">
      <c r="A484" s="5"/>
      <c r="E484" s="5"/>
      <c r="F484" s="555"/>
    </row>
    <row r="485" spans="1:6" s="4" customFormat="1">
      <c r="A485" s="5"/>
      <c r="E485" s="5"/>
      <c r="F485" s="555"/>
    </row>
    <row r="486" spans="1:6" s="4" customFormat="1">
      <c r="A486" s="5"/>
      <c r="E486" s="5"/>
      <c r="F486" s="555"/>
    </row>
    <row r="487" spans="1:6" s="4" customFormat="1">
      <c r="A487" s="5"/>
      <c r="E487" s="5"/>
      <c r="F487" s="555"/>
    </row>
    <row r="488" spans="1:6" s="4" customFormat="1">
      <c r="A488" s="5"/>
      <c r="E488" s="5"/>
      <c r="F488" s="555"/>
    </row>
    <row r="489" spans="1:6" s="4" customFormat="1">
      <c r="A489" s="5"/>
      <c r="E489" s="5"/>
      <c r="F489" s="555"/>
    </row>
    <row r="490" spans="1:6" s="4" customFormat="1">
      <c r="A490" s="5"/>
      <c r="E490" s="5"/>
      <c r="F490" s="555"/>
    </row>
    <row r="491" spans="1:6" s="4" customFormat="1">
      <c r="A491" s="5"/>
      <c r="E491" s="5"/>
      <c r="F491" s="555"/>
    </row>
    <row r="492" spans="1:6" s="4" customFormat="1">
      <c r="A492" s="5"/>
      <c r="E492" s="5"/>
      <c r="F492" s="555"/>
    </row>
    <row r="493" spans="1:6" s="4" customFormat="1">
      <c r="A493" s="5"/>
      <c r="E493" s="5"/>
      <c r="F493" s="555"/>
    </row>
    <row r="494" spans="1:6" s="4" customFormat="1">
      <c r="A494" s="5"/>
      <c r="E494" s="5"/>
      <c r="F494" s="555"/>
    </row>
    <row r="495" spans="1:6" s="4" customFormat="1">
      <c r="A495" s="5"/>
      <c r="E495" s="5"/>
      <c r="F495" s="555"/>
    </row>
    <row r="496" spans="1:6" s="4" customFormat="1">
      <c r="A496" s="5"/>
      <c r="E496" s="5"/>
      <c r="F496" s="555"/>
    </row>
    <row r="497" spans="1:6" s="4" customFormat="1">
      <c r="A497" s="5"/>
      <c r="E497" s="5"/>
      <c r="F497" s="555"/>
    </row>
    <row r="498" spans="1:6" s="4" customFormat="1">
      <c r="A498" s="5"/>
      <c r="E498" s="5"/>
      <c r="F498" s="555"/>
    </row>
    <row r="499" spans="1:6" s="4" customFormat="1">
      <c r="A499" s="5"/>
      <c r="E499" s="5"/>
      <c r="F499" s="555"/>
    </row>
    <row r="500" spans="1:6" s="4" customFormat="1">
      <c r="A500" s="5"/>
      <c r="E500" s="5"/>
      <c r="F500" s="555"/>
    </row>
    <row r="501" spans="1:6" s="4" customFormat="1">
      <c r="A501" s="5"/>
      <c r="E501" s="5"/>
      <c r="F501" s="555"/>
    </row>
    <row r="502" spans="1:6" s="4" customFormat="1">
      <c r="A502" s="5"/>
      <c r="E502" s="5"/>
      <c r="F502" s="555"/>
    </row>
    <row r="503" spans="1:6" s="4" customFormat="1">
      <c r="A503" s="5"/>
      <c r="E503" s="5"/>
      <c r="F503" s="555"/>
    </row>
    <row r="504" spans="1:6" s="4" customFormat="1">
      <c r="A504" s="5"/>
      <c r="E504" s="5"/>
      <c r="F504" s="555"/>
    </row>
    <row r="505" spans="1:6" s="4" customFormat="1">
      <c r="A505" s="5"/>
      <c r="E505" s="5"/>
      <c r="F505" s="555"/>
    </row>
    <row r="506" spans="1:6" s="4" customFormat="1">
      <c r="A506" s="5"/>
      <c r="E506" s="5"/>
      <c r="F506" s="555"/>
    </row>
    <row r="507" spans="1:6" s="4" customFormat="1">
      <c r="A507" s="5"/>
      <c r="E507" s="5"/>
      <c r="F507" s="555"/>
    </row>
    <row r="508" spans="1:6" s="4" customFormat="1">
      <c r="A508" s="5"/>
      <c r="E508" s="5"/>
      <c r="F508" s="555"/>
    </row>
    <row r="509" spans="1:6" s="4" customFormat="1">
      <c r="A509" s="5"/>
      <c r="E509" s="5"/>
      <c r="F509" s="555"/>
    </row>
    <row r="510" spans="1:6" s="4" customFormat="1">
      <c r="A510" s="5"/>
      <c r="E510" s="5"/>
      <c r="F510" s="555"/>
    </row>
    <row r="511" spans="1:6" s="4" customFormat="1">
      <c r="A511" s="5"/>
      <c r="E511" s="5"/>
      <c r="F511" s="555"/>
    </row>
    <row r="512" spans="1:6" s="4" customFormat="1">
      <c r="A512" s="5"/>
      <c r="E512" s="5"/>
      <c r="F512" s="555"/>
    </row>
    <row r="513" spans="1:6" s="4" customFormat="1">
      <c r="A513" s="5"/>
      <c r="E513" s="5"/>
      <c r="F513" s="555"/>
    </row>
    <row r="514" spans="1:6" s="4" customFormat="1">
      <c r="A514" s="5"/>
      <c r="E514" s="5"/>
      <c r="F514" s="555"/>
    </row>
    <row r="515" spans="1:6" s="4" customFormat="1">
      <c r="A515" s="5"/>
      <c r="E515" s="5"/>
      <c r="F515" s="555"/>
    </row>
    <row r="516" spans="1:6" s="4" customFormat="1">
      <c r="A516" s="5"/>
      <c r="E516" s="5"/>
      <c r="F516" s="555"/>
    </row>
    <row r="517" spans="1:6" s="4" customFormat="1">
      <c r="A517" s="5"/>
      <c r="E517" s="5"/>
      <c r="F517" s="555"/>
    </row>
    <row r="518" spans="1:6" s="4" customFormat="1">
      <c r="A518" s="5"/>
      <c r="E518" s="5"/>
      <c r="F518" s="555"/>
    </row>
    <row r="519" spans="1:6" s="4" customFormat="1">
      <c r="A519" s="5"/>
      <c r="E519" s="5"/>
      <c r="F519" s="555"/>
    </row>
    <row r="520" spans="1:6" s="4" customFormat="1">
      <c r="A520" s="5"/>
      <c r="E520" s="5"/>
      <c r="F520" s="555"/>
    </row>
    <row r="521" spans="1:6" s="4" customFormat="1">
      <c r="A521" s="5"/>
      <c r="E521" s="5"/>
      <c r="F521" s="555"/>
    </row>
    <row r="522" spans="1:6" s="4" customFormat="1">
      <c r="A522" s="5"/>
      <c r="E522" s="5"/>
      <c r="F522" s="555"/>
    </row>
    <row r="523" spans="1:6" s="4" customFormat="1">
      <c r="A523" s="5"/>
      <c r="E523" s="5"/>
      <c r="F523" s="555"/>
    </row>
    <row r="524" spans="1:6" s="4" customFormat="1">
      <c r="A524" s="5"/>
      <c r="E524" s="5"/>
      <c r="F524" s="555"/>
    </row>
    <row r="525" spans="1:6" s="4" customFormat="1">
      <c r="A525" s="5"/>
      <c r="E525" s="5"/>
      <c r="F525" s="555"/>
    </row>
    <row r="526" spans="1:6" s="4" customFormat="1">
      <c r="A526" s="5"/>
      <c r="E526" s="5"/>
      <c r="F526" s="555"/>
    </row>
    <row r="527" spans="1:6" s="4" customFormat="1">
      <c r="A527" s="5"/>
      <c r="E527" s="5"/>
      <c r="F527" s="555"/>
    </row>
    <row r="528" spans="1:6" s="4" customFormat="1">
      <c r="A528" s="5"/>
      <c r="E528" s="5"/>
      <c r="F528" s="555"/>
    </row>
    <row r="529" spans="1:6" s="4" customFormat="1">
      <c r="A529" s="5"/>
      <c r="E529" s="5"/>
      <c r="F529" s="555"/>
    </row>
    <row r="530" spans="1:6" s="4" customFormat="1">
      <c r="A530" s="5"/>
      <c r="E530" s="5"/>
      <c r="F530" s="555"/>
    </row>
    <row r="531" spans="1:6" s="4" customFormat="1">
      <c r="A531" s="5"/>
      <c r="E531" s="5"/>
      <c r="F531" s="555"/>
    </row>
    <row r="532" spans="1:6" s="4" customFormat="1">
      <c r="A532" s="5"/>
      <c r="E532" s="5"/>
      <c r="F532" s="555"/>
    </row>
    <row r="533" spans="1:6" s="4" customFormat="1">
      <c r="A533" s="5"/>
      <c r="E533" s="5"/>
      <c r="F533" s="555"/>
    </row>
    <row r="534" spans="1:6" s="4" customFormat="1">
      <c r="A534" s="5"/>
      <c r="E534" s="5"/>
      <c r="F534" s="555"/>
    </row>
    <row r="535" spans="1:6" s="4" customFormat="1">
      <c r="A535" s="5"/>
      <c r="E535" s="5"/>
      <c r="F535" s="555"/>
    </row>
  </sheetData>
  <autoFilter ref="E2:E535" xr:uid="{1AEFAFFB-B884-47B7-B807-0395E3F2A22D}"/>
  <mergeCells count="32">
    <mergeCell ref="G62:G64"/>
    <mergeCell ref="B320:B325"/>
    <mergeCell ref="A446:F446"/>
    <mergeCell ref="A292:E292"/>
    <mergeCell ref="A304:E304"/>
    <mergeCell ref="A326:E326"/>
    <mergeCell ref="A347:E347"/>
    <mergeCell ref="B185:B197"/>
    <mergeCell ref="E28:E33"/>
    <mergeCell ref="E35:E42"/>
    <mergeCell ref="B437:B445"/>
    <mergeCell ref="A280:E280"/>
    <mergeCell ref="B290:B291"/>
    <mergeCell ref="A285:E285"/>
    <mergeCell ref="B300:B303"/>
    <mergeCell ref="A198:E198"/>
    <mergeCell ref="B273:B279"/>
    <mergeCell ref="A207:E207"/>
    <mergeCell ref="A27:F27"/>
    <mergeCell ref="A34:F34"/>
    <mergeCell ref="A91:E91"/>
    <mergeCell ref="A43:F43"/>
    <mergeCell ref="A5:F5"/>
    <mergeCell ref="A14:F14"/>
    <mergeCell ref="A17:F17"/>
    <mergeCell ref="A2:F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83D0-D6BA-4900-985C-78D0474F0AE3}">
  <dimension ref="A1:J399"/>
  <sheetViews>
    <sheetView tabSelected="1" workbookViewId="0">
      <selection activeCell="H21" sqref="H21"/>
    </sheetView>
  </sheetViews>
  <sheetFormatPr defaultColWidth="9.140625" defaultRowHeight="15"/>
  <cols>
    <col min="1" max="1" width="13.140625" style="408" customWidth="1"/>
    <col min="2" max="2" width="51.140625" style="408" customWidth="1"/>
    <col min="3" max="3" width="28.140625" style="539" bestFit="1" customWidth="1"/>
    <col min="4" max="4" width="5.28515625" style="408" bestFit="1" customWidth="1"/>
    <col min="5" max="5" width="5.7109375" style="408" customWidth="1"/>
    <col min="6" max="6" width="13.28515625" style="408" customWidth="1"/>
    <col min="7" max="7" width="17.85546875" style="408" customWidth="1"/>
    <col min="8" max="8" width="16.28515625" style="408" customWidth="1"/>
    <col min="9" max="9" width="16.42578125" style="408" customWidth="1"/>
    <col min="10" max="10" width="23.5703125" style="408" bestFit="1" customWidth="1"/>
    <col min="11" max="16384" width="9.140625" style="408"/>
  </cols>
  <sheetData>
    <row r="1" spans="1:10" ht="15.75">
      <c r="A1" s="406" t="s">
        <v>881</v>
      </c>
      <c r="B1" s="406"/>
      <c r="C1" s="406"/>
      <c r="D1" s="406"/>
      <c r="E1" s="406"/>
      <c r="F1" s="406"/>
      <c r="G1" s="406"/>
      <c r="H1" s="406"/>
      <c r="I1" s="406"/>
      <c r="J1" s="407"/>
    </row>
    <row r="2" spans="1:10">
      <c r="A2" s="409" t="s">
        <v>882</v>
      </c>
      <c r="B2" s="409"/>
      <c r="C2" s="409"/>
      <c r="D2" s="409"/>
      <c r="E2" s="409"/>
      <c r="F2" s="409"/>
      <c r="G2" s="409"/>
      <c r="H2" s="409"/>
      <c r="I2" s="409"/>
      <c r="J2" s="407"/>
    </row>
    <row r="3" spans="1:10" s="414" customFormat="1" ht="15" customHeight="1">
      <c r="A3" s="410" t="s">
        <v>883</v>
      </c>
      <c r="B3" s="410" t="s">
        <v>884</v>
      </c>
      <c r="C3" s="411" t="s">
        <v>885</v>
      </c>
      <c r="D3" s="410" t="s">
        <v>886</v>
      </c>
      <c r="E3" s="410" t="s">
        <v>887</v>
      </c>
      <c r="F3" s="411" t="s">
        <v>888</v>
      </c>
      <c r="G3" s="412" t="s">
        <v>889</v>
      </c>
      <c r="H3" s="412" t="s">
        <v>890</v>
      </c>
      <c r="I3" s="412" t="s">
        <v>891</v>
      </c>
      <c r="J3" s="413" t="s">
        <v>592</v>
      </c>
    </row>
    <row r="4" spans="1:10" s="414" customFormat="1" ht="15" customHeight="1">
      <c r="A4" s="410"/>
      <c r="B4" s="410"/>
      <c r="C4" s="415"/>
      <c r="D4" s="410"/>
      <c r="E4" s="410"/>
      <c r="F4" s="415"/>
      <c r="G4" s="416"/>
      <c r="H4" s="416"/>
      <c r="I4" s="416"/>
      <c r="J4" s="413"/>
    </row>
    <row r="5" spans="1:10">
      <c r="A5" s="410"/>
      <c r="B5" s="410"/>
      <c r="C5" s="415"/>
      <c r="D5" s="410"/>
      <c r="E5" s="410"/>
      <c r="F5" s="415"/>
      <c r="G5" s="416"/>
      <c r="H5" s="416"/>
      <c r="I5" s="416"/>
      <c r="J5" s="413"/>
    </row>
    <row r="6" spans="1:10">
      <c r="A6" s="410"/>
      <c r="B6" s="410"/>
      <c r="C6" s="417"/>
      <c r="D6" s="410"/>
      <c r="E6" s="410"/>
      <c r="F6" s="417"/>
      <c r="G6" s="418"/>
      <c r="H6" s="418"/>
      <c r="I6" s="418"/>
      <c r="J6" s="413"/>
    </row>
    <row r="7" spans="1:10">
      <c r="A7" s="419">
        <v>1</v>
      </c>
      <c r="B7" s="420" t="s">
        <v>892</v>
      </c>
      <c r="C7" s="421"/>
      <c r="D7" s="422"/>
      <c r="E7" s="422"/>
      <c r="F7" s="422"/>
      <c r="G7" s="423"/>
      <c r="H7" s="423"/>
      <c r="I7" s="424"/>
      <c r="J7" s="407"/>
    </row>
    <row r="8" spans="1:10">
      <c r="A8" s="425">
        <v>1.1000000000000001</v>
      </c>
      <c r="B8" s="426" t="s">
        <v>810</v>
      </c>
      <c r="C8" s="427" t="s">
        <v>893</v>
      </c>
      <c r="D8" s="428" t="s">
        <v>4</v>
      </c>
      <c r="E8" s="428">
        <v>2</v>
      </c>
      <c r="F8" s="428" t="s">
        <v>894</v>
      </c>
      <c r="G8" s="429" t="s">
        <v>895</v>
      </c>
      <c r="H8" s="429">
        <v>0</v>
      </c>
      <c r="I8" s="430">
        <v>3</v>
      </c>
      <c r="J8" s="407"/>
    </row>
    <row r="9" spans="1:10" ht="5.25" customHeight="1">
      <c r="A9" s="431"/>
      <c r="B9" s="432"/>
      <c r="C9" s="432"/>
      <c r="D9" s="432"/>
      <c r="E9" s="432"/>
      <c r="F9" s="432"/>
      <c r="G9" s="432"/>
      <c r="H9" s="432"/>
      <c r="I9" s="432"/>
      <c r="J9" s="407"/>
    </row>
    <row r="10" spans="1:10">
      <c r="A10" s="419">
        <v>2</v>
      </c>
      <c r="B10" s="433" t="s">
        <v>896</v>
      </c>
      <c r="C10" s="419"/>
      <c r="D10" s="428"/>
      <c r="E10" s="428"/>
      <c r="F10" s="426"/>
      <c r="G10" s="423"/>
      <c r="H10" s="423"/>
      <c r="I10" s="424"/>
      <c r="J10" s="407"/>
    </row>
    <row r="11" spans="1:10" ht="15" customHeight="1">
      <c r="A11" s="597" t="s">
        <v>897</v>
      </c>
      <c r="B11" s="598" t="s">
        <v>898</v>
      </c>
      <c r="C11" s="599" t="s">
        <v>899</v>
      </c>
      <c r="D11" s="600" t="s">
        <v>4</v>
      </c>
      <c r="E11" s="600">
        <v>2</v>
      </c>
      <c r="F11" s="435" t="s">
        <v>900</v>
      </c>
      <c r="G11" s="428">
        <v>1</v>
      </c>
      <c r="H11" s="429">
        <v>0</v>
      </c>
      <c r="I11" s="428">
        <v>1</v>
      </c>
      <c r="J11" s="407"/>
    </row>
    <row r="12" spans="1:10">
      <c r="A12" s="425" t="s">
        <v>901</v>
      </c>
      <c r="B12" s="426" t="s">
        <v>902</v>
      </c>
      <c r="C12" s="434" t="s">
        <v>903</v>
      </c>
      <c r="D12" s="428" t="s">
        <v>4</v>
      </c>
      <c r="E12" s="428">
        <v>1</v>
      </c>
      <c r="F12" s="437"/>
      <c r="G12" s="428">
        <v>1</v>
      </c>
      <c r="H12" s="429">
        <v>0</v>
      </c>
      <c r="I12" s="428">
        <v>1</v>
      </c>
      <c r="J12" s="407"/>
    </row>
    <row r="13" spans="1:10">
      <c r="A13" s="425" t="s">
        <v>904</v>
      </c>
      <c r="B13" s="426" t="s">
        <v>905</v>
      </c>
      <c r="C13" s="434" t="s">
        <v>906</v>
      </c>
      <c r="D13" s="428" t="s">
        <v>4</v>
      </c>
      <c r="E13" s="428">
        <v>1</v>
      </c>
      <c r="F13" s="437"/>
      <c r="G13" s="428">
        <v>1</v>
      </c>
      <c r="H13" s="429">
        <v>0</v>
      </c>
      <c r="I13" s="428">
        <v>1</v>
      </c>
      <c r="J13" s="407"/>
    </row>
    <row r="14" spans="1:10">
      <c r="A14" s="425" t="s">
        <v>907</v>
      </c>
      <c r="B14" s="426" t="s">
        <v>908</v>
      </c>
      <c r="C14" s="434" t="s">
        <v>909</v>
      </c>
      <c r="D14" s="428" t="s">
        <v>4</v>
      </c>
      <c r="E14" s="428">
        <v>1</v>
      </c>
      <c r="F14" s="437"/>
      <c r="G14" s="428">
        <v>1</v>
      </c>
      <c r="H14" s="429">
        <v>0</v>
      </c>
      <c r="I14" s="428">
        <v>1</v>
      </c>
      <c r="J14" s="407"/>
    </row>
    <row r="15" spans="1:10">
      <c r="A15" s="425" t="s">
        <v>910</v>
      </c>
      <c r="B15" s="426" t="s">
        <v>911</v>
      </c>
      <c r="C15" s="434" t="s">
        <v>912</v>
      </c>
      <c r="D15" s="428" t="s">
        <v>4</v>
      </c>
      <c r="E15" s="428">
        <v>1</v>
      </c>
      <c r="F15" s="439"/>
      <c r="G15" s="428">
        <v>1</v>
      </c>
      <c r="H15" s="429">
        <v>0</v>
      </c>
      <c r="I15" s="428">
        <v>1</v>
      </c>
      <c r="J15" s="407"/>
    </row>
    <row r="16" spans="1:10" ht="4.5" customHeight="1">
      <c r="A16" s="440"/>
      <c r="B16" s="441"/>
      <c r="C16" s="441"/>
      <c r="D16" s="441"/>
      <c r="E16" s="441"/>
      <c r="F16" s="441"/>
      <c r="G16" s="441"/>
      <c r="H16" s="441"/>
      <c r="I16" s="441"/>
      <c r="J16" s="407"/>
    </row>
    <row r="17" spans="1:10">
      <c r="A17" s="442" t="s">
        <v>913</v>
      </c>
      <c r="B17" s="420" t="s">
        <v>914</v>
      </c>
      <c r="C17" s="443"/>
      <c r="D17" s="443"/>
      <c r="E17" s="443"/>
      <c r="F17" s="422"/>
      <c r="G17" s="423"/>
      <c r="H17" s="423"/>
      <c r="I17" s="424"/>
      <c r="J17" s="407"/>
    </row>
    <row r="18" spans="1:10" ht="15" customHeight="1">
      <c r="A18" s="597" t="s">
        <v>915</v>
      </c>
      <c r="B18" s="598" t="s">
        <v>916</v>
      </c>
      <c r="C18" s="601" t="s">
        <v>917</v>
      </c>
      <c r="D18" s="600" t="s">
        <v>4</v>
      </c>
      <c r="E18" s="600">
        <v>2</v>
      </c>
      <c r="F18" s="435" t="s">
        <v>900</v>
      </c>
      <c r="G18" s="428">
        <v>1</v>
      </c>
      <c r="H18" s="429">
        <v>0</v>
      </c>
      <c r="I18" s="428">
        <v>1</v>
      </c>
      <c r="J18" s="407"/>
    </row>
    <row r="19" spans="1:10">
      <c r="A19" s="597" t="s">
        <v>918</v>
      </c>
      <c r="B19" s="598" t="s">
        <v>919</v>
      </c>
      <c r="C19" s="601" t="s">
        <v>920</v>
      </c>
      <c r="D19" s="600" t="s">
        <v>4</v>
      </c>
      <c r="E19" s="600">
        <v>2</v>
      </c>
      <c r="F19" s="437"/>
      <c r="G19" s="428">
        <v>1</v>
      </c>
      <c r="H19" s="429">
        <v>0</v>
      </c>
      <c r="I19" s="428">
        <v>1</v>
      </c>
      <c r="J19" s="407"/>
    </row>
    <row r="20" spans="1:10">
      <c r="A20" s="597" t="s">
        <v>921</v>
      </c>
      <c r="B20" s="598" t="s">
        <v>922</v>
      </c>
      <c r="C20" s="601" t="s">
        <v>923</v>
      </c>
      <c r="D20" s="600" t="s">
        <v>4</v>
      </c>
      <c r="E20" s="600">
        <v>2</v>
      </c>
      <c r="F20" s="437"/>
      <c r="G20" s="428">
        <v>0</v>
      </c>
      <c r="H20" s="429">
        <v>1</v>
      </c>
      <c r="I20" s="428">
        <v>0</v>
      </c>
      <c r="J20" s="407"/>
    </row>
    <row r="21" spans="1:10">
      <c r="A21" s="597" t="s">
        <v>924</v>
      </c>
      <c r="B21" s="598" t="s">
        <v>925</v>
      </c>
      <c r="C21" s="601" t="s">
        <v>926</v>
      </c>
      <c r="D21" s="600" t="s">
        <v>4</v>
      </c>
      <c r="E21" s="600">
        <v>2</v>
      </c>
      <c r="F21" s="437"/>
      <c r="G21" s="428">
        <v>1</v>
      </c>
      <c r="H21" s="429">
        <v>0</v>
      </c>
      <c r="I21" s="428">
        <v>1</v>
      </c>
      <c r="J21" s="407"/>
    </row>
    <row r="22" spans="1:10">
      <c r="A22" s="597" t="s">
        <v>927</v>
      </c>
      <c r="B22" s="598" t="s">
        <v>928</v>
      </c>
      <c r="C22" s="601" t="s">
        <v>929</v>
      </c>
      <c r="D22" s="600" t="s">
        <v>4</v>
      </c>
      <c r="E22" s="600">
        <v>2</v>
      </c>
      <c r="F22" s="437"/>
      <c r="G22" s="428">
        <v>1</v>
      </c>
      <c r="H22" s="429">
        <v>0</v>
      </c>
      <c r="I22" s="428">
        <v>1</v>
      </c>
      <c r="J22" s="407"/>
    </row>
    <row r="23" spans="1:10">
      <c r="A23" s="597" t="s">
        <v>930</v>
      </c>
      <c r="B23" s="598" t="s">
        <v>931</v>
      </c>
      <c r="C23" s="601" t="s">
        <v>932</v>
      </c>
      <c r="D23" s="600" t="s">
        <v>4</v>
      </c>
      <c r="E23" s="600">
        <v>2</v>
      </c>
      <c r="F23" s="439"/>
      <c r="G23" s="428">
        <v>1</v>
      </c>
      <c r="H23" s="429">
        <v>0</v>
      </c>
      <c r="I23" s="428">
        <v>1</v>
      </c>
      <c r="J23" s="407"/>
    </row>
    <row r="24" spans="1:10" ht="5.25" customHeight="1">
      <c r="A24" s="440"/>
      <c r="B24" s="441"/>
      <c r="C24" s="441"/>
      <c r="D24" s="441"/>
      <c r="E24" s="441"/>
      <c r="F24" s="441"/>
      <c r="G24" s="441"/>
      <c r="H24" s="441"/>
      <c r="I24" s="441"/>
      <c r="J24" s="407"/>
    </row>
    <row r="25" spans="1:10">
      <c r="A25" s="442" t="s">
        <v>933</v>
      </c>
      <c r="B25" s="420" t="s">
        <v>934</v>
      </c>
      <c r="C25" s="443"/>
      <c r="D25" s="443"/>
      <c r="E25" s="443"/>
      <c r="F25" s="422"/>
      <c r="G25" s="423"/>
      <c r="H25" s="423"/>
      <c r="I25" s="424"/>
      <c r="J25" s="407"/>
    </row>
    <row r="26" spans="1:10" ht="15" customHeight="1">
      <c r="A26" s="425" t="s">
        <v>935</v>
      </c>
      <c r="B26" s="426" t="s">
        <v>936</v>
      </c>
      <c r="C26" s="427" t="s">
        <v>937</v>
      </c>
      <c r="D26" s="444" t="s">
        <v>4</v>
      </c>
      <c r="E26" s="428">
        <v>1</v>
      </c>
      <c r="F26" s="435" t="s">
        <v>900</v>
      </c>
      <c r="G26" s="430">
        <v>1</v>
      </c>
      <c r="H26" s="429">
        <v>0</v>
      </c>
      <c r="I26" s="430">
        <v>1</v>
      </c>
      <c r="J26" s="407"/>
    </row>
    <row r="27" spans="1:10">
      <c r="A27" s="597" t="s">
        <v>938</v>
      </c>
      <c r="B27" s="598" t="s">
        <v>939</v>
      </c>
      <c r="C27" s="601" t="s">
        <v>940</v>
      </c>
      <c r="D27" s="602" t="s">
        <v>4</v>
      </c>
      <c r="E27" s="600">
        <v>2</v>
      </c>
      <c r="F27" s="437"/>
      <c r="G27" s="428">
        <v>1</v>
      </c>
      <c r="H27" s="429">
        <v>0</v>
      </c>
      <c r="I27" s="428">
        <v>1</v>
      </c>
      <c r="J27" s="407"/>
    </row>
    <row r="28" spans="1:10" ht="15.75" customHeight="1">
      <c r="A28" s="597" t="s">
        <v>941</v>
      </c>
      <c r="B28" s="598" t="s">
        <v>942</v>
      </c>
      <c r="C28" s="603" t="s">
        <v>943</v>
      </c>
      <c r="D28" s="602" t="s">
        <v>4</v>
      </c>
      <c r="E28" s="600">
        <v>2</v>
      </c>
      <c r="F28" s="437"/>
      <c r="G28" s="428">
        <v>1</v>
      </c>
      <c r="H28" s="429">
        <v>0</v>
      </c>
      <c r="I28" s="428">
        <v>1</v>
      </c>
      <c r="J28" s="407"/>
    </row>
    <row r="29" spans="1:10" ht="15.75" customHeight="1">
      <c r="A29" s="597" t="s">
        <v>944</v>
      </c>
      <c r="B29" s="598" t="s">
        <v>945</v>
      </c>
      <c r="C29" s="601" t="s">
        <v>946</v>
      </c>
      <c r="D29" s="602" t="s">
        <v>4</v>
      </c>
      <c r="E29" s="600">
        <v>2</v>
      </c>
      <c r="F29" s="437"/>
      <c r="G29" s="428">
        <v>1</v>
      </c>
      <c r="H29" s="429">
        <v>0</v>
      </c>
      <c r="I29" s="428">
        <v>1</v>
      </c>
      <c r="J29" s="407"/>
    </row>
    <row r="30" spans="1:10" ht="15.75" customHeight="1">
      <c r="A30" s="597" t="s">
        <v>947</v>
      </c>
      <c r="B30" s="598" t="s">
        <v>948</v>
      </c>
      <c r="C30" s="601" t="s">
        <v>949</v>
      </c>
      <c r="D30" s="602" t="s">
        <v>4</v>
      </c>
      <c r="E30" s="600">
        <v>2</v>
      </c>
      <c r="F30" s="437"/>
      <c r="G30" s="428">
        <v>1</v>
      </c>
      <c r="H30" s="429">
        <v>0</v>
      </c>
      <c r="I30" s="428">
        <v>1</v>
      </c>
      <c r="J30" s="407"/>
    </row>
    <row r="31" spans="1:10">
      <c r="A31" s="597" t="s">
        <v>950</v>
      </c>
      <c r="B31" s="598" t="s">
        <v>951</v>
      </c>
      <c r="C31" s="601" t="s">
        <v>952</v>
      </c>
      <c r="D31" s="602" t="s">
        <v>4</v>
      </c>
      <c r="E31" s="600">
        <v>1</v>
      </c>
      <c r="F31" s="439"/>
      <c r="G31" s="428">
        <v>0</v>
      </c>
      <c r="H31" s="429">
        <v>1</v>
      </c>
      <c r="I31" s="428">
        <v>0</v>
      </c>
      <c r="J31" s="407"/>
    </row>
    <row r="32" spans="1:10" ht="5.25" customHeight="1">
      <c r="A32" s="440"/>
      <c r="B32" s="441"/>
      <c r="C32" s="441"/>
      <c r="D32" s="441"/>
      <c r="E32" s="441"/>
      <c r="F32" s="441"/>
      <c r="G32" s="441"/>
      <c r="H32" s="441"/>
      <c r="I32" s="441"/>
      <c r="J32" s="407"/>
    </row>
    <row r="33" spans="1:10">
      <c r="A33" s="442" t="s">
        <v>953</v>
      </c>
      <c r="B33" s="420" t="s">
        <v>954</v>
      </c>
      <c r="C33" s="443"/>
      <c r="D33" s="443"/>
      <c r="E33" s="443"/>
      <c r="F33" s="422"/>
      <c r="G33" s="423"/>
      <c r="H33" s="423"/>
      <c r="I33" s="424"/>
      <c r="J33" s="407"/>
    </row>
    <row r="34" spans="1:10" ht="16.5" customHeight="1">
      <c r="A34" s="425" t="s">
        <v>955</v>
      </c>
      <c r="B34" s="426" t="s">
        <v>956</v>
      </c>
      <c r="C34" s="444" t="s">
        <v>957</v>
      </c>
      <c r="D34" s="428" t="s">
        <v>4</v>
      </c>
      <c r="E34" s="428">
        <v>25</v>
      </c>
      <c r="F34" s="435" t="s">
        <v>958</v>
      </c>
      <c r="G34" s="429">
        <v>25</v>
      </c>
      <c r="H34" s="429">
        <v>0</v>
      </c>
      <c r="I34" s="429">
        <v>25</v>
      </c>
      <c r="J34" s="407"/>
    </row>
    <row r="35" spans="1:10">
      <c r="A35" s="425" t="s">
        <v>959</v>
      </c>
      <c r="B35" s="426" t="s">
        <v>960</v>
      </c>
      <c r="C35" s="444" t="s">
        <v>961</v>
      </c>
      <c r="D35" s="428" t="s">
        <v>4</v>
      </c>
      <c r="E35" s="428">
        <v>5</v>
      </c>
      <c r="F35" s="437"/>
      <c r="G35" s="429">
        <v>5</v>
      </c>
      <c r="H35" s="429">
        <v>0</v>
      </c>
      <c r="I35" s="429">
        <v>5</v>
      </c>
      <c r="J35" s="407"/>
    </row>
    <row r="36" spans="1:10">
      <c r="A36" s="425" t="s">
        <v>962</v>
      </c>
      <c r="B36" s="426" t="s">
        <v>963</v>
      </c>
      <c r="C36" s="428" t="s">
        <v>746</v>
      </c>
      <c r="D36" s="428" t="s">
        <v>4</v>
      </c>
      <c r="E36" s="428">
        <v>50</v>
      </c>
      <c r="F36" s="437"/>
      <c r="G36" s="429">
        <v>50</v>
      </c>
      <c r="H36" s="429">
        <v>0</v>
      </c>
      <c r="I36" s="429">
        <v>50</v>
      </c>
      <c r="J36" s="407"/>
    </row>
    <row r="37" spans="1:10">
      <c r="A37" s="425" t="s">
        <v>964</v>
      </c>
      <c r="B37" s="426" t="s">
        <v>965</v>
      </c>
      <c r="C37" s="428" t="s">
        <v>748</v>
      </c>
      <c r="D37" s="428" t="s">
        <v>4</v>
      </c>
      <c r="E37" s="428">
        <v>25</v>
      </c>
      <c r="F37" s="437"/>
      <c r="G37" s="429">
        <v>25</v>
      </c>
      <c r="H37" s="429">
        <v>0</v>
      </c>
      <c r="I37" s="429">
        <v>25</v>
      </c>
      <c r="J37" s="407"/>
    </row>
    <row r="38" spans="1:10">
      <c r="A38" s="425" t="s">
        <v>966</v>
      </c>
      <c r="B38" s="426" t="s">
        <v>967</v>
      </c>
      <c r="C38" s="428" t="s">
        <v>750</v>
      </c>
      <c r="D38" s="428" t="s">
        <v>4</v>
      </c>
      <c r="E38" s="428">
        <v>5</v>
      </c>
      <c r="F38" s="437"/>
      <c r="G38" s="429">
        <v>4</v>
      </c>
      <c r="H38" s="429">
        <v>0</v>
      </c>
      <c r="I38" s="429">
        <v>4</v>
      </c>
      <c r="J38" s="407"/>
    </row>
    <row r="39" spans="1:10">
      <c r="A39" s="425" t="s">
        <v>968</v>
      </c>
      <c r="B39" s="426" t="s">
        <v>969</v>
      </c>
      <c r="C39" s="428" t="s">
        <v>752</v>
      </c>
      <c r="D39" s="428" t="s">
        <v>4</v>
      </c>
      <c r="E39" s="428">
        <v>60</v>
      </c>
      <c r="F39" s="437"/>
      <c r="G39" s="429">
        <v>60</v>
      </c>
      <c r="H39" s="429">
        <v>0</v>
      </c>
      <c r="I39" s="429">
        <v>60</v>
      </c>
      <c r="J39" s="407"/>
    </row>
    <row r="40" spans="1:10" ht="25.5">
      <c r="A40" s="425" t="s">
        <v>970</v>
      </c>
      <c r="B40" s="426" t="s">
        <v>971</v>
      </c>
      <c r="C40" s="428" t="s">
        <v>754</v>
      </c>
      <c r="D40" s="428" t="s">
        <v>4</v>
      </c>
      <c r="E40" s="428">
        <v>60</v>
      </c>
      <c r="F40" s="439"/>
      <c r="G40" s="429">
        <v>60</v>
      </c>
      <c r="H40" s="429">
        <v>0</v>
      </c>
      <c r="I40" s="429">
        <v>60</v>
      </c>
      <c r="J40" s="407"/>
    </row>
    <row r="41" spans="1:10" ht="5.25" customHeight="1">
      <c r="A41" s="445"/>
      <c r="B41" s="445"/>
      <c r="C41" s="445"/>
      <c r="D41" s="445"/>
      <c r="E41" s="445"/>
      <c r="F41" s="445"/>
      <c r="G41" s="445"/>
      <c r="H41" s="445"/>
      <c r="I41" s="440"/>
      <c r="J41" s="407"/>
    </row>
    <row r="42" spans="1:10">
      <c r="A42" s="442" t="s">
        <v>972</v>
      </c>
      <c r="B42" s="446" t="s">
        <v>973</v>
      </c>
      <c r="C42" s="447"/>
      <c r="D42" s="447"/>
      <c r="E42" s="447"/>
      <c r="F42" s="446"/>
      <c r="G42" s="448"/>
      <c r="H42" s="448"/>
      <c r="I42" s="448"/>
      <c r="J42" s="407"/>
    </row>
    <row r="43" spans="1:10">
      <c r="A43" s="425" t="s">
        <v>974</v>
      </c>
      <c r="B43" s="449" t="s">
        <v>975</v>
      </c>
      <c r="C43" s="444">
        <v>7212452</v>
      </c>
      <c r="D43" s="428" t="s">
        <v>4</v>
      </c>
      <c r="E43" s="428">
        <v>1</v>
      </c>
      <c r="F43" s="435" t="s">
        <v>976</v>
      </c>
      <c r="G43" s="429">
        <v>1</v>
      </c>
      <c r="H43" s="429">
        <v>0</v>
      </c>
      <c r="I43" s="429">
        <v>1</v>
      </c>
      <c r="J43" s="407"/>
    </row>
    <row r="44" spans="1:10">
      <c r="A44" s="425" t="s">
        <v>977</v>
      </c>
      <c r="B44" s="450" t="s">
        <v>978</v>
      </c>
      <c r="C44" s="428">
        <v>2213414</v>
      </c>
      <c r="D44" s="428" t="s">
        <v>4</v>
      </c>
      <c r="E44" s="428">
        <v>2</v>
      </c>
      <c r="F44" s="437"/>
      <c r="G44" s="429">
        <v>2</v>
      </c>
      <c r="H44" s="429">
        <v>0</v>
      </c>
      <c r="I44" s="429">
        <v>2</v>
      </c>
      <c r="J44" s="407"/>
    </row>
    <row r="45" spans="1:10">
      <c r="A45" s="425" t="s">
        <v>979</v>
      </c>
      <c r="B45" s="450" t="s">
        <v>980</v>
      </c>
      <c r="C45" s="428">
        <v>1182142</v>
      </c>
      <c r="D45" s="428" t="s">
        <v>4</v>
      </c>
      <c r="E45" s="428">
        <v>1</v>
      </c>
      <c r="F45" s="437"/>
      <c r="G45" s="429">
        <v>1</v>
      </c>
      <c r="H45" s="429">
        <v>0</v>
      </c>
      <c r="I45" s="429">
        <v>1</v>
      </c>
      <c r="J45" s="407"/>
    </row>
    <row r="46" spans="1:10">
      <c r="A46" s="425" t="s">
        <v>981</v>
      </c>
      <c r="B46" s="450" t="s">
        <v>180</v>
      </c>
      <c r="C46" s="428">
        <v>63823</v>
      </c>
      <c r="D46" s="428" t="s">
        <v>4</v>
      </c>
      <c r="E46" s="428">
        <v>1</v>
      </c>
      <c r="F46" s="437"/>
      <c r="G46" s="429">
        <v>1</v>
      </c>
      <c r="H46" s="429">
        <v>0</v>
      </c>
      <c r="I46" s="429">
        <v>1</v>
      </c>
      <c r="J46" s="407"/>
    </row>
    <row r="47" spans="1:10">
      <c r="A47" s="425" t="s">
        <v>982</v>
      </c>
      <c r="B47" s="450" t="s">
        <v>983</v>
      </c>
      <c r="C47" s="428">
        <v>7212483</v>
      </c>
      <c r="D47" s="428" t="s">
        <v>4</v>
      </c>
      <c r="E47" s="428">
        <v>1</v>
      </c>
      <c r="F47" s="437"/>
      <c r="G47" s="429">
        <v>1</v>
      </c>
      <c r="H47" s="429">
        <v>0</v>
      </c>
      <c r="I47" s="429">
        <v>1</v>
      </c>
      <c r="J47" s="407"/>
    </row>
    <row r="48" spans="1:10">
      <c r="A48" s="425" t="s">
        <v>984</v>
      </c>
      <c r="B48" s="450" t="s">
        <v>985</v>
      </c>
      <c r="C48" s="428">
        <v>2213414</v>
      </c>
      <c r="D48" s="428" t="s">
        <v>4</v>
      </c>
      <c r="E48" s="428">
        <v>1</v>
      </c>
      <c r="F48" s="437"/>
      <c r="G48" s="451">
        <v>1</v>
      </c>
      <c r="H48" s="429">
        <v>0</v>
      </c>
      <c r="I48" s="451">
        <v>1</v>
      </c>
      <c r="J48" s="407"/>
    </row>
    <row r="49" spans="1:10">
      <c r="A49" s="425" t="s">
        <v>986</v>
      </c>
      <c r="B49" s="450" t="s">
        <v>185</v>
      </c>
      <c r="C49" s="428">
        <v>64025</v>
      </c>
      <c r="D49" s="428" t="s">
        <v>4</v>
      </c>
      <c r="E49" s="428">
        <v>1</v>
      </c>
      <c r="F49" s="439"/>
      <c r="G49" s="429">
        <v>1</v>
      </c>
      <c r="H49" s="429">
        <v>0</v>
      </c>
      <c r="I49" s="429">
        <v>1</v>
      </c>
      <c r="J49" s="407"/>
    </row>
    <row r="50" spans="1:10" ht="6" customHeight="1">
      <c r="A50" s="445"/>
      <c r="B50" s="445"/>
      <c r="C50" s="445"/>
      <c r="D50" s="445"/>
      <c r="E50" s="445"/>
      <c r="F50" s="445"/>
      <c r="G50" s="445"/>
      <c r="H50" s="445"/>
      <c r="I50" s="440"/>
      <c r="J50" s="407"/>
    </row>
    <row r="51" spans="1:10">
      <c r="A51" s="442">
        <v>7</v>
      </c>
      <c r="B51" s="446" t="s">
        <v>987</v>
      </c>
      <c r="C51" s="447"/>
      <c r="D51" s="447"/>
      <c r="E51" s="447"/>
      <c r="F51" s="446"/>
      <c r="G51" s="448"/>
      <c r="H51" s="448"/>
      <c r="I51" s="448"/>
      <c r="J51" s="407"/>
    </row>
    <row r="52" spans="1:10">
      <c r="A52" s="425" t="s">
        <v>988</v>
      </c>
      <c r="B52" s="449" t="s">
        <v>989</v>
      </c>
      <c r="C52" s="444" t="s">
        <v>990</v>
      </c>
      <c r="D52" s="428" t="s">
        <v>4</v>
      </c>
      <c r="E52" s="428">
        <v>2</v>
      </c>
      <c r="F52" s="435" t="s">
        <v>991</v>
      </c>
      <c r="G52" s="429">
        <v>1</v>
      </c>
      <c r="H52" s="429">
        <v>1</v>
      </c>
      <c r="I52" s="429">
        <v>0</v>
      </c>
      <c r="J52" s="452" t="s">
        <v>992</v>
      </c>
    </row>
    <row r="53" spans="1:10">
      <c r="A53" s="425" t="s">
        <v>993</v>
      </c>
      <c r="B53" s="450" t="s">
        <v>994</v>
      </c>
      <c r="C53" s="428" t="s">
        <v>995</v>
      </c>
      <c r="D53" s="428" t="s">
        <v>4</v>
      </c>
      <c r="E53" s="428">
        <v>2</v>
      </c>
      <c r="F53" s="437"/>
      <c r="G53" s="429">
        <v>1</v>
      </c>
      <c r="H53" s="429">
        <v>1</v>
      </c>
      <c r="I53" s="429">
        <v>0</v>
      </c>
      <c r="J53" s="452"/>
    </row>
    <row r="54" spans="1:10">
      <c r="A54" s="425" t="s">
        <v>996</v>
      </c>
      <c r="B54" s="450" t="s">
        <v>805</v>
      </c>
      <c r="C54" s="428" t="s">
        <v>997</v>
      </c>
      <c r="D54" s="428" t="s">
        <v>4</v>
      </c>
      <c r="E54" s="428">
        <v>1</v>
      </c>
      <c r="F54" s="437"/>
      <c r="G54" s="429">
        <v>0</v>
      </c>
      <c r="H54" s="429"/>
      <c r="I54" s="429">
        <v>0</v>
      </c>
      <c r="J54" s="452"/>
    </row>
    <row r="55" spans="1:10">
      <c r="A55" s="425" t="s">
        <v>998</v>
      </c>
      <c r="B55" s="450" t="s">
        <v>999</v>
      </c>
      <c r="C55" s="428" t="s">
        <v>1000</v>
      </c>
      <c r="D55" s="428" t="s">
        <v>4</v>
      </c>
      <c r="E55" s="428">
        <v>8</v>
      </c>
      <c r="F55" s="437"/>
      <c r="G55" s="429">
        <v>2</v>
      </c>
      <c r="H55" s="429">
        <v>2</v>
      </c>
      <c r="I55" s="429">
        <v>0</v>
      </c>
      <c r="J55" s="452"/>
    </row>
    <row r="56" spans="1:10">
      <c r="A56" s="425" t="s">
        <v>1001</v>
      </c>
      <c r="B56" s="450" t="s">
        <v>1002</v>
      </c>
      <c r="C56" s="428" t="s">
        <v>1003</v>
      </c>
      <c r="D56" s="428" t="s">
        <v>4</v>
      </c>
      <c r="E56" s="428">
        <v>8</v>
      </c>
      <c r="F56" s="439"/>
      <c r="G56" s="429">
        <v>7</v>
      </c>
      <c r="H56" s="429">
        <v>2</v>
      </c>
      <c r="I56" s="429">
        <v>5</v>
      </c>
      <c r="J56" s="452"/>
    </row>
    <row r="57" spans="1:10" ht="6.75" customHeight="1">
      <c r="A57" s="453"/>
      <c r="B57" s="453"/>
      <c r="C57" s="453"/>
      <c r="D57" s="453"/>
      <c r="E57" s="453"/>
      <c r="F57" s="453"/>
      <c r="G57" s="453"/>
      <c r="H57" s="453"/>
      <c r="I57" s="454"/>
      <c r="J57" s="407"/>
    </row>
    <row r="58" spans="1:10" ht="15" customHeight="1">
      <c r="A58" s="442">
        <v>8</v>
      </c>
      <c r="B58" s="446" t="s">
        <v>1004</v>
      </c>
      <c r="C58" s="447"/>
      <c r="D58" s="447"/>
      <c r="E58" s="447"/>
      <c r="F58" s="446"/>
      <c r="G58" s="448"/>
      <c r="H58" s="448"/>
      <c r="I58" s="448"/>
      <c r="J58" s="407"/>
    </row>
    <row r="59" spans="1:10" ht="15" customHeight="1">
      <c r="A59" s="442"/>
      <c r="B59" s="446" t="s">
        <v>1005</v>
      </c>
      <c r="C59" s="447"/>
      <c r="D59" s="447"/>
      <c r="E59" s="447"/>
      <c r="F59" s="446"/>
      <c r="G59" s="448"/>
      <c r="H59" s="448"/>
      <c r="I59" s="448"/>
      <c r="J59" s="407"/>
    </row>
    <row r="60" spans="1:10" ht="15" customHeight="1">
      <c r="A60" s="425" t="s">
        <v>1006</v>
      </c>
      <c r="B60" s="450" t="s">
        <v>1007</v>
      </c>
      <c r="C60" s="131" t="s">
        <v>222</v>
      </c>
      <c r="D60" s="428" t="s">
        <v>4</v>
      </c>
      <c r="E60" s="428">
        <v>4</v>
      </c>
      <c r="F60" s="455" t="s">
        <v>1008</v>
      </c>
      <c r="G60" s="429">
        <v>4</v>
      </c>
      <c r="H60" s="456"/>
      <c r="I60" s="429">
        <v>4</v>
      </c>
      <c r="J60" s="407"/>
    </row>
    <row r="61" spans="1:10" ht="15" customHeight="1">
      <c r="A61" s="425" t="s">
        <v>1009</v>
      </c>
      <c r="B61" s="450" t="s">
        <v>1010</v>
      </c>
      <c r="C61" s="131" t="s">
        <v>619</v>
      </c>
      <c r="D61" s="428" t="s">
        <v>255</v>
      </c>
      <c r="E61" s="428">
        <v>2</v>
      </c>
      <c r="F61" s="457"/>
      <c r="G61" s="429">
        <v>2</v>
      </c>
      <c r="H61" s="456"/>
      <c r="I61" s="429">
        <v>2</v>
      </c>
      <c r="J61" s="407"/>
    </row>
    <row r="62" spans="1:10" ht="15" customHeight="1">
      <c r="A62" s="425" t="s">
        <v>1011</v>
      </c>
      <c r="B62" s="450" t="s">
        <v>1012</v>
      </c>
      <c r="C62" s="131" t="s">
        <v>1013</v>
      </c>
      <c r="D62" s="428" t="s">
        <v>255</v>
      </c>
      <c r="E62" s="428">
        <v>1</v>
      </c>
      <c r="F62" s="457"/>
      <c r="G62" s="541" t="s">
        <v>1014</v>
      </c>
      <c r="H62" s="456"/>
      <c r="I62" s="429">
        <v>0</v>
      </c>
      <c r="J62" s="407"/>
    </row>
    <row r="63" spans="1:10" ht="15" customHeight="1">
      <c r="A63" s="425" t="s">
        <v>1015</v>
      </c>
      <c r="B63" s="450" t="s">
        <v>1016</v>
      </c>
      <c r="C63" s="131" t="s">
        <v>668</v>
      </c>
      <c r="D63" s="428" t="s">
        <v>1017</v>
      </c>
      <c r="E63" s="428">
        <v>3</v>
      </c>
      <c r="F63" s="457"/>
      <c r="G63" s="541" t="s">
        <v>1014</v>
      </c>
      <c r="H63" s="456"/>
      <c r="I63" s="429">
        <v>0</v>
      </c>
      <c r="J63" s="407"/>
    </row>
    <row r="64" spans="1:10" ht="15" customHeight="1">
      <c r="A64" s="425" t="s">
        <v>1018</v>
      </c>
      <c r="B64" s="450" t="s">
        <v>1019</v>
      </c>
      <c r="C64" s="131" t="s">
        <v>223</v>
      </c>
      <c r="D64" s="428" t="s">
        <v>4</v>
      </c>
      <c r="E64" s="428">
        <v>4</v>
      </c>
      <c r="F64" s="457"/>
      <c r="G64" s="429">
        <v>4</v>
      </c>
      <c r="H64" s="456"/>
      <c r="I64" s="429">
        <v>4</v>
      </c>
      <c r="J64" s="407"/>
    </row>
    <row r="65" spans="1:10" ht="15" customHeight="1">
      <c r="A65" s="425" t="s">
        <v>1020</v>
      </c>
      <c r="B65" s="450" t="s">
        <v>1021</v>
      </c>
      <c r="C65" s="131" t="s">
        <v>224</v>
      </c>
      <c r="D65" s="428" t="s">
        <v>4</v>
      </c>
      <c r="E65" s="428">
        <v>4</v>
      </c>
      <c r="F65" s="457"/>
      <c r="G65" s="541" t="s">
        <v>1014</v>
      </c>
      <c r="H65" s="456"/>
      <c r="I65" s="429">
        <v>0</v>
      </c>
      <c r="J65" s="407"/>
    </row>
    <row r="66" spans="1:10" ht="15" customHeight="1">
      <c r="A66" s="425" t="s">
        <v>1022</v>
      </c>
      <c r="B66" s="450" t="s">
        <v>1023</v>
      </c>
      <c r="C66" s="131" t="s">
        <v>225</v>
      </c>
      <c r="D66" s="428" t="s">
        <v>4</v>
      </c>
      <c r="E66" s="428">
        <v>3</v>
      </c>
      <c r="F66" s="457"/>
      <c r="G66" s="429">
        <v>3</v>
      </c>
      <c r="H66" s="456"/>
      <c r="I66" s="429">
        <v>3</v>
      </c>
      <c r="J66" s="407"/>
    </row>
    <row r="67" spans="1:10" ht="15" customHeight="1">
      <c r="A67" s="425" t="s">
        <v>1024</v>
      </c>
      <c r="B67" s="450" t="s">
        <v>1025</v>
      </c>
      <c r="C67" s="131" t="s">
        <v>226</v>
      </c>
      <c r="D67" s="428" t="s">
        <v>4</v>
      </c>
      <c r="E67" s="428">
        <v>3</v>
      </c>
      <c r="F67" s="457"/>
      <c r="G67" s="429">
        <v>3</v>
      </c>
      <c r="H67" s="456"/>
      <c r="I67" s="429">
        <v>3</v>
      </c>
      <c r="J67" s="407"/>
    </row>
    <row r="68" spans="1:10" ht="15" customHeight="1">
      <c r="A68" s="425" t="s">
        <v>1026</v>
      </c>
      <c r="B68" s="458" t="s">
        <v>377</v>
      </c>
      <c r="C68" s="131" t="s">
        <v>227</v>
      </c>
      <c r="D68" s="459" t="s">
        <v>4</v>
      </c>
      <c r="E68" s="428">
        <v>4</v>
      </c>
      <c r="F68" s="457"/>
      <c r="G68" s="429">
        <v>4</v>
      </c>
      <c r="H68" s="456"/>
      <c r="I68" s="429">
        <v>4</v>
      </c>
      <c r="J68" s="407"/>
    </row>
    <row r="69" spans="1:10" ht="15" customHeight="1">
      <c r="A69" s="425" t="s">
        <v>1027</v>
      </c>
      <c r="B69" s="458" t="s">
        <v>1028</v>
      </c>
      <c r="C69" s="131" t="s">
        <v>1029</v>
      </c>
      <c r="D69" s="459" t="s">
        <v>4</v>
      </c>
      <c r="E69" s="428">
        <v>6</v>
      </c>
      <c r="F69" s="457"/>
      <c r="G69" s="429">
        <v>6</v>
      </c>
      <c r="H69" s="456"/>
      <c r="I69" s="429">
        <v>6</v>
      </c>
      <c r="J69" s="407"/>
    </row>
    <row r="70" spans="1:10" ht="15" customHeight="1">
      <c r="A70" s="425" t="s">
        <v>1030</v>
      </c>
      <c r="B70" s="458" t="s">
        <v>1031</v>
      </c>
      <c r="C70" s="131" t="s">
        <v>229</v>
      </c>
      <c r="D70" s="459" t="s">
        <v>255</v>
      </c>
      <c r="E70" s="428">
        <v>6</v>
      </c>
      <c r="F70" s="457"/>
      <c r="G70" s="429">
        <v>9</v>
      </c>
      <c r="H70" s="456"/>
      <c r="I70" s="429">
        <v>9</v>
      </c>
      <c r="J70" s="407"/>
    </row>
    <row r="71" spans="1:10" ht="15" customHeight="1">
      <c r="A71" s="425" t="s">
        <v>1032</v>
      </c>
      <c r="B71" s="460" t="s">
        <v>1033</v>
      </c>
      <c r="C71" s="131" t="s">
        <v>230</v>
      </c>
      <c r="D71" s="459" t="s">
        <v>4</v>
      </c>
      <c r="E71" s="428">
        <v>2</v>
      </c>
      <c r="F71" s="457"/>
      <c r="G71" s="429">
        <v>2</v>
      </c>
      <c r="H71" s="456"/>
      <c r="I71" s="429">
        <v>2</v>
      </c>
      <c r="J71" s="407"/>
    </row>
    <row r="72" spans="1:10" ht="15" customHeight="1">
      <c r="A72" s="425" t="s">
        <v>1034</v>
      </c>
      <c r="B72" s="461" t="s">
        <v>1035</v>
      </c>
      <c r="C72" s="131" t="s">
        <v>231</v>
      </c>
      <c r="D72" s="459" t="s">
        <v>4</v>
      </c>
      <c r="E72" s="428">
        <v>2</v>
      </c>
      <c r="F72" s="457"/>
      <c r="G72" s="429">
        <v>2</v>
      </c>
      <c r="H72" s="456"/>
      <c r="I72" s="429">
        <v>2</v>
      </c>
      <c r="J72" s="407"/>
    </row>
    <row r="73" spans="1:10" ht="15" customHeight="1">
      <c r="A73" s="425" t="s">
        <v>1036</v>
      </c>
      <c r="B73" s="461" t="s">
        <v>1037</v>
      </c>
      <c r="C73" s="131" t="s">
        <v>1038</v>
      </c>
      <c r="D73" s="459" t="s">
        <v>255</v>
      </c>
      <c r="E73" s="428">
        <v>1</v>
      </c>
      <c r="F73" s="457"/>
      <c r="G73" s="429">
        <v>1</v>
      </c>
      <c r="H73" s="456"/>
      <c r="I73" s="429">
        <v>1</v>
      </c>
      <c r="J73" s="407"/>
    </row>
    <row r="74" spans="1:10" ht="15" customHeight="1">
      <c r="A74" s="425" t="s">
        <v>1039</v>
      </c>
      <c r="B74" s="461" t="s">
        <v>1040</v>
      </c>
      <c r="C74" s="131" t="s">
        <v>232</v>
      </c>
      <c r="D74" s="459" t="s">
        <v>1017</v>
      </c>
      <c r="E74" s="428">
        <v>4</v>
      </c>
      <c r="F74" s="457"/>
      <c r="G74" s="429">
        <v>4</v>
      </c>
      <c r="H74" s="456"/>
      <c r="I74" s="429">
        <v>4</v>
      </c>
      <c r="J74" s="407"/>
    </row>
    <row r="75" spans="1:10" ht="15" customHeight="1">
      <c r="A75" s="425" t="s">
        <v>1041</v>
      </c>
      <c r="B75" s="461" t="s">
        <v>1042</v>
      </c>
      <c r="C75" s="131" t="s">
        <v>258</v>
      </c>
      <c r="D75" s="459" t="s">
        <v>4</v>
      </c>
      <c r="E75" s="428">
        <v>1</v>
      </c>
      <c r="F75" s="457"/>
      <c r="G75" s="429">
        <v>1</v>
      </c>
      <c r="H75" s="456"/>
      <c r="I75" s="429">
        <v>1</v>
      </c>
      <c r="J75" s="407"/>
    </row>
    <row r="76" spans="1:10" ht="15" customHeight="1">
      <c r="A76" s="425" t="s">
        <v>1043</v>
      </c>
      <c r="B76" s="450" t="s">
        <v>1044</v>
      </c>
      <c r="C76" s="131" t="s">
        <v>233</v>
      </c>
      <c r="D76" s="428" t="s">
        <v>255</v>
      </c>
      <c r="E76" s="428">
        <v>3</v>
      </c>
      <c r="F76" s="457"/>
      <c r="G76" s="429">
        <v>3</v>
      </c>
      <c r="H76" s="456"/>
      <c r="I76" s="429">
        <v>3</v>
      </c>
      <c r="J76" s="407"/>
    </row>
    <row r="77" spans="1:10" ht="15" customHeight="1">
      <c r="A77" s="425" t="s">
        <v>1045</v>
      </c>
      <c r="B77" s="450" t="s">
        <v>1046</v>
      </c>
      <c r="C77" s="131" t="s">
        <v>442</v>
      </c>
      <c r="D77" s="428" t="s">
        <v>4</v>
      </c>
      <c r="E77" s="428">
        <v>2</v>
      </c>
      <c r="F77" s="457"/>
      <c r="G77" s="429">
        <v>2</v>
      </c>
      <c r="H77" s="456"/>
      <c r="I77" s="429">
        <v>2</v>
      </c>
      <c r="J77" s="407"/>
    </row>
    <row r="78" spans="1:10" ht="15" customHeight="1">
      <c r="A78" s="425" t="s">
        <v>1047</v>
      </c>
      <c r="B78" s="450" t="s">
        <v>1048</v>
      </c>
      <c r="C78" s="131" t="s">
        <v>263</v>
      </c>
      <c r="D78" s="428" t="s">
        <v>4</v>
      </c>
      <c r="E78" s="428">
        <v>1</v>
      </c>
      <c r="F78" s="462"/>
      <c r="G78" s="429">
        <v>1</v>
      </c>
      <c r="H78" s="456"/>
      <c r="I78" s="429">
        <v>1</v>
      </c>
      <c r="J78" s="407"/>
    </row>
    <row r="79" spans="1:10" ht="15" customHeight="1">
      <c r="A79" s="425" t="s">
        <v>1049</v>
      </c>
      <c r="B79" s="450" t="s">
        <v>253</v>
      </c>
      <c r="C79" s="131" t="s">
        <v>443</v>
      </c>
      <c r="D79" s="428" t="s">
        <v>4</v>
      </c>
      <c r="E79" s="428">
        <v>1</v>
      </c>
      <c r="F79" s="455" t="s">
        <v>1008</v>
      </c>
      <c r="G79" s="429">
        <v>1</v>
      </c>
      <c r="H79" s="456"/>
      <c r="I79" s="429">
        <v>1</v>
      </c>
      <c r="J79" s="407"/>
    </row>
    <row r="80" spans="1:10" ht="15" customHeight="1">
      <c r="A80" s="425" t="s">
        <v>1050</v>
      </c>
      <c r="B80" s="450" t="s">
        <v>1051</v>
      </c>
      <c r="C80" s="131" t="s">
        <v>234</v>
      </c>
      <c r="D80" s="428" t="s">
        <v>4</v>
      </c>
      <c r="E80" s="428">
        <v>3</v>
      </c>
      <c r="F80" s="457"/>
      <c r="G80" s="429">
        <v>3</v>
      </c>
      <c r="H80" s="456"/>
      <c r="I80" s="429">
        <v>3</v>
      </c>
      <c r="J80" s="407"/>
    </row>
    <row r="81" spans="1:10" ht="15" customHeight="1">
      <c r="A81" s="425" t="s">
        <v>1052</v>
      </c>
      <c r="B81" s="450" t="s">
        <v>1053</v>
      </c>
      <c r="C81" s="131" t="s">
        <v>1054</v>
      </c>
      <c r="D81" s="428" t="s">
        <v>4</v>
      </c>
      <c r="E81" s="428">
        <v>1</v>
      </c>
      <c r="F81" s="457"/>
      <c r="G81" s="429">
        <v>1</v>
      </c>
      <c r="H81" s="456"/>
      <c r="I81" s="429">
        <v>1</v>
      </c>
      <c r="J81" s="407"/>
    </row>
    <row r="82" spans="1:10" ht="15" customHeight="1">
      <c r="A82" s="425" t="s">
        <v>1055</v>
      </c>
      <c r="B82" s="450" t="s">
        <v>1056</v>
      </c>
      <c r="C82" s="131" t="s">
        <v>236</v>
      </c>
      <c r="D82" s="428" t="s">
        <v>4</v>
      </c>
      <c r="E82" s="428">
        <v>1</v>
      </c>
      <c r="F82" s="457"/>
      <c r="G82" s="429">
        <v>1</v>
      </c>
      <c r="H82" s="456"/>
      <c r="I82" s="429">
        <v>1</v>
      </c>
      <c r="J82" s="407"/>
    </row>
    <row r="83" spans="1:10" ht="15" customHeight="1">
      <c r="A83" s="425" t="s">
        <v>1057</v>
      </c>
      <c r="B83" s="450" t="s">
        <v>262</v>
      </c>
      <c r="C83" s="131" t="s">
        <v>237</v>
      </c>
      <c r="D83" s="428" t="s">
        <v>4</v>
      </c>
      <c r="E83" s="428">
        <v>1</v>
      </c>
      <c r="F83" s="457"/>
      <c r="G83" s="429">
        <v>1</v>
      </c>
      <c r="H83" s="456"/>
      <c r="I83" s="429">
        <v>1</v>
      </c>
      <c r="J83" s="407"/>
    </row>
    <row r="84" spans="1:10" ht="15" customHeight="1">
      <c r="A84" s="425" t="s">
        <v>1058</v>
      </c>
      <c r="B84" s="458" t="s">
        <v>1059</v>
      </c>
      <c r="C84" s="131" t="s">
        <v>238</v>
      </c>
      <c r="D84" s="459" t="s">
        <v>4</v>
      </c>
      <c r="E84" s="428">
        <v>3</v>
      </c>
      <c r="F84" s="457"/>
      <c r="G84" s="429">
        <v>3</v>
      </c>
      <c r="H84" s="456"/>
      <c r="I84" s="429">
        <v>3</v>
      </c>
      <c r="J84" s="407"/>
    </row>
    <row r="85" spans="1:10" ht="15" customHeight="1">
      <c r="A85" s="425" t="s">
        <v>1060</v>
      </c>
      <c r="B85" s="458" t="s">
        <v>1061</v>
      </c>
      <c r="C85" s="131" t="s">
        <v>620</v>
      </c>
      <c r="D85" s="459" t="s">
        <v>4</v>
      </c>
      <c r="E85" s="428">
        <v>1</v>
      </c>
      <c r="F85" s="457"/>
      <c r="G85" s="429">
        <v>1</v>
      </c>
      <c r="H85" s="456"/>
      <c r="I85" s="429">
        <v>1</v>
      </c>
      <c r="J85" s="407"/>
    </row>
    <row r="86" spans="1:10" ht="15" customHeight="1">
      <c r="A86" s="425" t="s">
        <v>1062</v>
      </c>
      <c r="B86" s="458" t="s">
        <v>1063</v>
      </c>
      <c r="C86" s="131" t="s">
        <v>460</v>
      </c>
      <c r="D86" s="459" t="s">
        <v>4</v>
      </c>
      <c r="E86" s="428">
        <v>1</v>
      </c>
      <c r="F86" s="457"/>
      <c r="G86" s="429">
        <v>1</v>
      </c>
      <c r="H86" s="456"/>
      <c r="I86" s="429">
        <v>1</v>
      </c>
      <c r="J86" s="407"/>
    </row>
    <row r="87" spans="1:10" ht="15" customHeight="1">
      <c r="A87" s="425" t="s">
        <v>1064</v>
      </c>
      <c r="B87" s="460" t="s">
        <v>1065</v>
      </c>
      <c r="C87" s="131" t="s">
        <v>264</v>
      </c>
      <c r="D87" s="459" t="s">
        <v>4</v>
      </c>
      <c r="E87" s="428">
        <v>2</v>
      </c>
      <c r="F87" s="457"/>
      <c r="G87" s="429">
        <v>2</v>
      </c>
      <c r="H87" s="456"/>
      <c r="I87" s="429">
        <v>2</v>
      </c>
      <c r="J87" s="407"/>
    </row>
    <row r="88" spans="1:10" ht="15" customHeight="1">
      <c r="A88" s="425" t="s">
        <v>1066</v>
      </c>
      <c r="B88" s="461" t="s">
        <v>1067</v>
      </c>
      <c r="C88" s="131" t="s">
        <v>265</v>
      </c>
      <c r="D88" s="459" t="s">
        <v>4</v>
      </c>
      <c r="E88" s="428">
        <v>2</v>
      </c>
      <c r="F88" s="457"/>
      <c r="G88" s="429">
        <v>2</v>
      </c>
      <c r="H88" s="456"/>
      <c r="I88" s="429">
        <v>2</v>
      </c>
      <c r="J88" s="407"/>
    </row>
    <row r="89" spans="1:10" ht="15" customHeight="1">
      <c r="A89" s="425" t="s">
        <v>1068</v>
      </c>
      <c r="B89" s="461" t="s">
        <v>1069</v>
      </c>
      <c r="C89" s="131" t="s">
        <v>265</v>
      </c>
      <c r="D89" s="459" t="s">
        <v>4</v>
      </c>
      <c r="E89" s="428">
        <v>2</v>
      </c>
      <c r="F89" s="457"/>
      <c r="G89" s="429">
        <v>2</v>
      </c>
      <c r="H89" s="456"/>
      <c r="I89" s="429">
        <v>2</v>
      </c>
      <c r="J89" s="407"/>
    </row>
    <row r="90" spans="1:10" ht="15" customHeight="1">
      <c r="A90" s="425" t="s">
        <v>1070</v>
      </c>
      <c r="B90" s="461" t="s">
        <v>1071</v>
      </c>
      <c r="C90" s="131" t="s">
        <v>1072</v>
      </c>
      <c r="D90" s="459" t="s">
        <v>255</v>
      </c>
      <c r="E90" s="428">
        <v>6</v>
      </c>
      <c r="F90" s="457"/>
      <c r="G90" s="541" t="s">
        <v>1014</v>
      </c>
      <c r="H90" s="456"/>
      <c r="I90" s="429">
        <v>0</v>
      </c>
      <c r="J90" s="407"/>
    </row>
    <row r="91" spans="1:10" ht="15" customHeight="1">
      <c r="A91" s="425" t="s">
        <v>1073</v>
      </c>
      <c r="B91" s="450" t="s">
        <v>1074</v>
      </c>
      <c r="C91" s="131" t="s">
        <v>267</v>
      </c>
      <c r="D91" s="428" t="s">
        <v>4</v>
      </c>
      <c r="E91" s="428">
        <v>2</v>
      </c>
      <c r="F91" s="457"/>
      <c r="G91" s="429">
        <v>2</v>
      </c>
      <c r="H91" s="456"/>
      <c r="I91" s="429">
        <v>2</v>
      </c>
      <c r="J91" s="407"/>
    </row>
    <row r="92" spans="1:10" ht="15" customHeight="1">
      <c r="A92" s="425" t="s">
        <v>1075</v>
      </c>
      <c r="B92" s="450" t="s">
        <v>1076</v>
      </c>
      <c r="C92" s="131" t="s">
        <v>1077</v>
      </c>
      <c r="D92" s="428" t="s">
        <v>4</v>
      </c>
      <c r="E92" s="428">
        <v>2</v>
      </c>
      <c r="F92" s="457"/>
      <c r="G92" s="429">
        <v>2</v>
      </c>
      <c r="H92" s="456"/>
      <c r="I92" s="429">
        <v>2</v>
      </c>
      <c r="J92" s="407"/>
    </row>
    <row r="93" spans="1:10" ht="15" customHeight="1">
      <c r="A93" s="425" t="s">
        <v>1078</v>
      </c>
      <c r="B93" s="450" t="s">
        <v>1079</v>
      </c>
      <c r="C93" s="131" t="s">
        <v>457</v>
      </c>
      <c r="D93" s="428" t="s">
        <v>4</v>
      </c>
      <c r="E93" s="428">
        <v>2</v>
      </c>
      <c r="F93" s="457"/>
      <c r="G93" s="429">
        <v>2</v>
      </c>
      <c r="H93" s="456"/>
      <c r="I93" s="429">
        <v>2</v>
      </c>
      <c r="J93" s="407"/>
    </row>
    <row r="94" spans="1:10" ht="15" customHeight="1">
      <c r="A94" s="425" t="s">
        <v>1080</v>
      </c>
      <c r="B94" s="450" t="s">
        <v>1081</v>
      </c>
      <c r="C94" s="131" t="s">
        <v>457</v>
      </c>
      <c r="D94" s="428" t="s">
        <v>4</v>
      </c>
      <c r="E94" s="428">
        <v>2</v>
      </c>
      <c r="F94" s="457"/>
      <c r="G94" s="429">
        <v>2</v>
      </c>
      <c r="H94" s="456"/>
      <c r="I94" s="429">
        <v>2</v>
      </c>
      <c r="J94" s="407"/>
    </row>
    <row r="95" spans="1:10" ht="15" customHeight="1">
      <c r="A95" s="425" t="s">
        <v>1082</v>
      </c>
      <c r="B95" s="450" t="s">
        <v>1083</v>
      </c>
      <c r="C95" s="131" t="s">
        <v>457</v>
      </c>
      <c r="D95" s="428" t="s">
        <v>4</v>
      </c>
      <c r="E95" s="428">
        <v>2</v>
      </c>
      <c r="F95" s="457"/>
      <c r="G95" s="429">
        <v>2</v>
      </c>
      <c r="H95" s="456"/>
      <c r="I95" s="429">
        <v>2</v>
      </c>
      <c r="J95" s="407"/>
    </row>
    <row r="96" spans="1:10" ht="15" customHeight="1">
      <c r="A96" s="425" t="s">
        <v>1084</v>
      </c>
      <c r="B96" s="450" t="s">
        <v>1085</v>
      </c>
      <c r="C96" s="131" t="s">
        <v>1086</v>
      </c>
      <c r="D96" s="428" t="s">
        <v>4</v>
      </c>
      <c r="E96" s="428">
        <v>2</v>
      </c>
      <c r="F96" s="457"/>
      <c r="G96" s="429">
        <v>2</v>
      </c>
      <c r="H96" s="456"/>
      <c r="I96" s="429">
        <v>2</v>
      </c>
      <c r="J96" s="407"/>
    </row>
    <row r="97" spans="1:10" ht="15" customHeight="1">
      <c r="A97" s="425" t="s">
        <v>1087</v>
      </c>
      <c r="B97" s="458" t="s">
        <v>1088</v>
      </c>
      <c r="C97" s="131" t="s">
        <v>1089</v>
      </c>
      <c r="D97" s="459" t="s">
        <v>4</v>
      </c>
      <c r="E97" s="428">
        <v>3</v>
      </c>
      <c r="F97" s="457"/>
      <c r="G97" s="541" t="s">
        <v>1014</v>
      </c>
      <c r="H97" s="456"/>
      <c r="I97" s="429">
        <v>0</v>
      </c>
      <c r="J97" s="407"/>
    </row>
    <row r="98" spans="1:10" ht="15" customHeight="1">
      <c r="A98" s="425" t="s">
        <v>1090</v>
      </c>
      <c r="B98" s="458" t="s">
        <v>1091</v>
      </c>
      <c r="C98" s="131" t="s">
        <v>239</v>
      </c>
      <c r="D98" s="459" t="s">
        <v>4</v>
      </c>
      <c r="E98" s="428">
        <v>3</v>
      </c>
      <c r="F98" s="462"/>
      <c r="G98" s="429">
        <v>3</v>
      </c>
      <c r="H98" s="463">
        <v>1</v>
      </c>
      <c r="I98" s="429">
        <v>2</v>
      </c>
      <c r="J98" s="407"/>
    </row>
    <row r="99" spans="1:10" ht="15" customHeight="1">
      <c r="A99" s="464"/>
      <c r="B99" s="465" t="s">
        <v>1092</v>
      </c>
      <c r="C99" s="466"/>
      <c r="D99" s="467"/>
      <c r="E99" s="468"/>
      <c r="F99" s="469"/>
      <c r="G99" s="429"/>
      <c r="H99" s="423"/>
      <c r="I99" s="429"/>
      <c r="J99" s="407"/>
    </row>
    <row r="100" spans="1:10" ht="15" customHeight="1">
      <c r="A100" s="425" t="s">
        <v>1093</v>
      </c>
      <c r="B100" s="470" t="s">
        <v>1007</v>
      </c>
      <c r="C100" s="131" t="s">
        <v>240</v>
      </c>
      <c r="D100" s="459" t="s">
        <v>4</v>
      </c>
      <c r="E100" s="131">
        <v>2</v>
      </c>
      <c r="F100" s="471"/>
      <c r="G100" s="429">
        <v>2</v>
      </c>
      <c r="H100" s="423"/>
      <c r="I100" s="429">
        <v>2</v>
      </c>
      <c r="J100" s="407"/>
    </row>
    <row r="101" spans="1:10" ht="15" customHeight="1">
      <c r="A101" s="425" t="s">
        <v>1094</v>
      </c>
      <c r="B101" s="470" t="s">
        <v>1095</v>
      </c>
      <c r="C101" s="131" t="s">
        <v>241</v>
      </c>
      <c r="D101" s="459" t="s">
        <v>4</v>
      </c>
      <c r="E101" s="131">
        <v>1</v>
      </c>
      <c r="F101" s="471"/>
      <c r="G101" s="429">
        <v>1</v>
      </c>
      <c r="H101" s="423"/>
      <c r="I101" s="429">
        <v>1</v>
      </c>
      <c r="J101" s="407"/>
    </row>
    <row r="102" spans="1:10" ht="15" customHeight="1">
      <c r="A102" s="425" t="s">
        <v>1096</v>
      </c>
      <c r="B102" s="470" t="s">
        <v>1016</v>
      </c>
      <c r="C102" s="131" t="s">
        <v>1097</v>
      </c>
      <c r="D102" s="459" t="s">
        <v>4</v>
      </c>
      <c r="E102" s="131">
        <v>1</v>
      </c>
      <c r="F102" s="471"/>
      <c r="G102" s="541" t="s">
        <v>1014</v>
      </c>
      <c r="H102" s="423"/>
      <c r="I102" s="429">
        <v>0</v>
      </c>
      <c r="J102" s="407"/>
    </row>
    <row r="103" spans="1:10" ht="15" customHeight="1">
      <c r="A103" s="425" t="s">
        <v>1098</v>
      </c>
      <c r="B103" s="470" t="s">
        <v>1099</v>
      </c>
      <c r="C103" s="131" t="s">
        <v>242</v>
      </c>
      <c r="D103" s="459" t="s">
        <v>4</v>
      </c>
      <c r="E103" s="131">
        <v>1</v>
      </c>
      <c r="F103" s="471"/>
      <c r="G103" s="429">
        <v>1</v>
      </c>
      <c r="H103" s="423"/>
      <c r="I103" s="429">
        <v>1</v>
      </c>
      <c r="J103" s="407"/>
    </row>
    <row r="104" spans="1:10" ht="15" customHeight="1">
      <c r="A104" s="425" t="s">
        <v>1100</v>
      </c>
      <c r="B104" s="470" t="s">
        <v>1101</v>
      </c>
      <c r="C104" s="131" t="s">
        <v>1102</v>
      </c>
      <c r="D104" s="459" t="s">
        <v>4</v>
      </c>
      <c r="E104" s="131">
        <v>2</v>
      </c>
      <c r="F104" s="471"/>
      <c r="G104" s="429"/>
      <c r="H104" s="423"/>
      <c r="I104" s="429"/>
      <c r="J104" s="407"/>
    </row>
    <row r="105" spans="1:10" ht="15" customHeight="1">
      <c r="A105" s="425" t="s">
        <v>1103</v>
      </c>
      <c r="B105" s="470" t="s">
        <v>1104</v>
      </c>
      <c r="C105" s="131" t="s">
        <v>243</v>
      </c>
      <c r="D105" s="459" t="s">
        <v>4</v>
      </c>
      <c r="E105" s="131">
        <v>2</v>
      </c>
      <c r="F105" s="471"/>
      <c r="G105" s="429">
        <v>2</v>
      </c>
      <c r="H105" s="423"/>
      <c r="I105" s="429">
        <v>2</v>
      </c>
      <c r="J105" s="407"/>
    </row>
    <row r="106" spans="1:10" ht="15" customHeight="1">
      <c r="A106" s="425" t="s">
        <v>1105</v>
      </c>
      <c r="B106" s="470" t="s">
        <v>1106</v>
      </c>
      <c r="C106" s="131" t="s">
        <v>1107</v>
      </c>
      <c r="D106" s="459" t="s">
        <v>4</v>
      </c>
      <c r="E106" s="131">
        <v>1</v>
      </c>
      <c r="F106" s="471"/>
      <c r="G106" s="429"/>
      <c r="H106" s="423"/>
      <c r="I106" s="429"/>
      <c r="J106" s="407"/>
    </row>
    <row r="107" spans="1:10" ht="15" customHeight="1">
      <c r="A107" s="425" t="s">
        <v>1108</v>
      </c>
      <c r="B107" s="470" t="s">
        <v>1109</v>
      </c>
      <c r="C107" s="131" t="s">
        <v>245</v>
      </c>
      <c r="D107" s="459" t="s">
        <v>4</v>
      </c>
      <c r="E107" s="131">
        <v>2</v>
      </c>
      <c r="F107" s="471"/>
      <c r="G107" s="429">
        <v>2</v>
      </c>
      <c r="H107" s="423"/>
      <c r="I107" s="429">
        <v>2</v>
      </c>
      <c r="J107" s="407"/>
    </row>
    <row r="108" spans="1:10" ht="15" customHeight="1">
      <c r="A108" s="425" t="s">
        <v>1110</v>
      </c>
      <c r="B108" s="470" t="s">
        <v>1031</v>
      </c>
      <c r="C108" s="131" t="s">
        <v>229</v>
      </c>
      <c r="D108" s="459" t="s">
        <v>4</v>
      </c>
      <c r="E108" s="131">
        <v>3</v>
      </c>
      <c r="F108" s="471"/>
      <c r="G108" s="429">
        <v>9</v>
      </c>
      <c r="H108" s="423"/>
      <c r="I108" s="429">
        <v>9</v>
      </c>
      <c r="J108" s="407"/>
    </row>
    <row r="109" spans="1:10" ht="15" customHeight="1">
      <c r="A109" s="425" t="s">
        <v>1111</v>
      </c>
      <c r="B109" s="470" t="s">
        <v>1112</v>
      </c>
      <c r="C109" s="131" t="s">
        <v>1113</v>
      </c>
      <c r="D109" s="459" t="s">
        <v>4</v>
      </c>
      <c r="E109" s="131">
        <v>2</v>
      </c>
      <c r="F109" s="471"/>
      <c r="G109" s="429"/>
      <c r="H109" s="429" t="s">
        <v>1114</v>
      </c>
      <c r="I109" s="429"/>
      <c r="J109" s="407"/>
    </row>
    <row r="110" spans="1:10" ht="15" customHeight="1">
      <c r="A110" s="425" t="s">
        <v>1115</v>
      </c>
      <c r="B110" s="470" t="s">
        <v>1044</v>
      </c>
      <c r="C110" s="131" t="s">
        <v>233</v>
      </c>
      <c r="D110" s="459" t="s">
        <v>4</v>
      </c>
      <c r="E110" s="131">
        <v>2</v>
      </c>
      <c r="F110" s="471">
        <v>2</v>
      </c>
      <c r="G110" s="429">
        <v>5</v>
      </c>
      <c r="H110" s="407"/>
      <c r="I110" s="429">
        <v>5</v>
      </c>
      <c r="J110" s="407"/>
    </row>
    <row r="111" spans="1:10" ht="15" customHeight="1">
      <c r="A111" s="425" t="s">
        <v>1116</v>
      </c>
      <c r="B111" s="470" t="s">
        <v>1117</v>
      </c>
      <c r="C111" s="131" t="s">
        <v>272</v>
      </c>
      <c r="D111" s="459" t="s">
        <v>4</v>
      </c>
      <c r="E111" s="131">
        <v>1</v>
      </c>
      <c r="F111" s="471"/>
      <c r="G111" s="429">
        <v>1</v>
      </c>
      <c r="H111" s="423"/>
      <c r="I111" s="429">
        <v>1</v>
      </c>
      <c r="J111" s="407"/>
    </row>
    <row r="112" spans="1:10" ht="15" customHeight="1">
      <c r="A112" s="425" t="s">
        <v>1118</v>
      </c>
      <c r="B112" s="470" t="s">
        <v>1119</v>
      </c>
      <c r="C112" s="131" t="s">
        <v>1120</v>
      </c>
      <c r="D112" s="459" t="s">
        <v>4</v>
      </c>
      <c r="E112" s="131">
        <v>1</v>
      </c>
      <c r="F112" s="471"/>
      <c r="G112" s="429">
        <v>1</v>
      </c>
      <c r="H112" s="423"/>
      <c r="I112" s="429">
        <v>1</v>
      </c>
      <c r="J112" s="407"/>
    </row>
    <row r="113" spans="1:10" ht="15" customHeight="1">
      <c r="A113" s="425" t="s">
        <v>1121</v>
      </c>
      <c r="B113" s="470" t="s">
        <v>1122</v>
      </c>
      <c r="C113" s="131" t="s">
        <v>1120</v>
      </c>
      <c r="D113" s="459" t="s">
        <v>4</v>
      </c>
      <c r="E113" s="131">
        <v>1</v>
      </c>
      <c r="F113" s="471"/>
      <c r="G113" s="429">
        <v>1</v>
      </c>
      <c r="H113" s="423"/>
      <c r="I113" s="429">
        <v>1</v>
      </c>
      <c r="J113" s="407"/>
    </row>
    <row r="114" spans="1:10" ht="15" customHeight="1">
      <c r="A114" s="425" t="s">
        <v>1123</v>
      </c>
      <c r="B114" s="470" t="s">
        <v>1071</v>
      </c>
      <c r="C114" s="131" t="s">
        <v>1072</v>
      </c>
      <c r="D114" s="459" t="s">
        <v>4</v>
      </c>
      <c r="E114" s="131">
        <v>1</v>
      </c>
      <c r="F114" s="471"/>
      <c r="G114" s="429"/>
      <c r="H114" s="423"/>
      <c r="I114" s="429"/>
      <c r="J114" s="407"/>
    </row>
    <row r="115" spans="1:10" ht="15" customHeight="1">
      <c r="A115" s="425" t="s">
        <v>1124</v>
      </c>
      <c r="B115" s="470" t="s">
        <v>1125</v>
      </c>
      <c r="C115" s="131" t="s">
        <v>457</v>
      </c>
      <c r="D115" s="459" t="s">
        <v>4</v>
      </c>
      <c r="E115" s="131">
        <v>1</v>
      </c>
      <c r="F115" s="471"/>
      <c r="G115" s="429">
        <v>7</v>
      </c>
      <c r="H115" s="423"/>
      <c r="I115" s="429">
        <v>7</v>
      </c>
      <c r="J115" s="407"/>
    </row>
    <row r="116" spans="1:10" ht="15" customHeight="1">
      <c r="A116" s="425" t="s">
        <v>1126</v>
      </c>
      <c r="B116" s="470" t="s">
        <v>1127</v>
      </c>
      <c r="C116" s="131" t="s">
        <v>1128</v>
      </c>
      <c r="D116" s="459" t="s">
        <v>4</v>
      </c>
      <c r="E116" s="131">
        <v>1</v>
      </c>
      <c r="F116" s="471"/>
      <c r="G116" s="541" t="s">
        <v>1014</v>
      </c>
      <c r="H116" s="423"/>
      <c r="I116" s="429">
        <v>0</v>
      </c>
      <c r="J116" s="407"/>
    </row>
    <row r="117" spans="1:10" ht="15" customHeight="1">
      <c r="A117" s="425" t="s">
        <v>1129</v>
      </c>
      <c r="B117" s="470" t="s">
        <v>1081</v>
      </c>
      <c r="C117" s="131" t="s">
        <v>1128</v>
      </c>
      <c r="D117" s="459" t="s">
        <v>4</v>
      </c>
      <c r="E117" s="131">
        <v>1</v>
      </c>
      <c r="F117" s="471"/>
      <c r="G117" s="541" t="s">
        <v>1014</v>
      </c>
      <c r="H117" s="423"/>
      <c r="I117" s="429">
        <v>0</v>
      </c>
      <c r="J117" s="407"/>
    </row>
    <row r="118" spans="1:10" ht="15" customHeight="1">
      <c r="A118" s="425" t="s">
        <v>1130</v>
      </c>
      <c r="B118" s="470" t="s">
        <v>1131</v>
      </c>
      <c r="C118" s="131" t="s">
        <v>246</v>
      </c>
      <c r="D118" s="459" t="s">
        <v>4</v>
      </c>
      <c r="E118" s="131">
        <v>2</v>
      </c>
      <c r="F118" s="471"/>
      <c r="G118" s="429">
        <v>2</v>
      </c>
      <c r="H118" s="423"/>
      <c r="I118" s="429">
        <v>2</v>
      </c>
      <c r="J118" s="407"/>
    </row>
    <row r="119" spans="1:10" ht="15" customHeight="1">
      <c r="A119" s="425" t="s">
        <v>1132</v>
      </c>
      <c r="B119" s="470" t="s">
        <v>1133</v>
      </c>
      <c r="C119" s="131" t="s">
        <v>1134</v>
      </c>
      <c r="D119" s="459" t="s">
        <v>4</v>
      </c>
      <c r="E119" s="131">
        <v>2</v>
      </c>
      <c r="F119" s="471"/>
      <c r="G119" s="541" t="s">
        <v>1014</v>
      </c>
      <c r="H119" s="423"/>
      <c r="I119" s="429">
        <v>0</v>
      </c>
      <c r="J119" s="407"/>
    </row>
    <row r="120" spans="1:10" ht="15" customHeight="1">
      <c r="A120" s="472"/>
      <c r="B120" s="465"/>
      <c r="C120" s="466"/>
      <c r="D120" s="473"/>
      <c r="E120" s="474"/>
      <c r="F120" s="469"/>
      <c r="G120" s="429"/>
      <c r="H120" s="423"/>
      <c r="I120" s="423"/>
      <c r="J120" s="407"/>
    </row>
    <row r="121" spans="1:10" ht="15" customHeight="1">
      <c r="A121" s="442" t="s">
        <v>441</v>
      </c>
      <c r="B121" s="420" t="s">
        <v>1135</v>
      </c>
      <c r="C121" s="443"/>
      <c r="D121" s="443"/>
      <c r="E121" s="443"/>
      <c r="F121" s="422"/>
      <c r="G121" s="429"/>
      <c r="H121" s="456"/>
      <c r="I121" s="424"/>
      <c r="J121" s="407"/>
    </row>
    <row r="122" spans="1:10" ht="15" customHeight="1">
      <c r="A122" s="425" t="s">
        <v>1136</v>
      </c>
      <c r="B122" s="426" t="s">
        <v>1137</v>
      </c>
      <c r="C122" s="428">
        <v>94221151</v>
      </c>
      <c r="D122" s="428" t="s">
        <v>4</v>
      </c>
      <c r="E122" s="428">
        <v>3</v>
      </c>
      <c r="F122" s="475" t="s">
        <v>1138</v>
      </c>
      <c r="G122" s="428">
        <v>3</v>
      </c>
      <c r="H122" s="463">
        <v>3</v>
      </c>
      <c r="I122" s="430">
        <v>0</v>
      </c>
      <c r="J122" s="407"/>
    </row>
    <row r="123" spans="1:10" ht="15" customHeight="1">
      <c r="A123" s="425" t="s">
        <v>1139</v>
      </c>
      <c r="B123" s="426" t="s">
        <v>727</v>
      </c>
      <c r="C123" s="428">
        <v>94221149</v>
      </c>
      <c r="D123" s="428" t="s">
        <v>4</v>
      </c>
      <c r="E123" s="428">
        <v>2</v>
      </c>
      <c r="F123" s="476"/>
      <c r="G123" s="428">
        <v>2</v>
      </c>
      <c r="H123" s="463">
        <v>2</v>
      </c>
      <c r="I123" s="430">
        <v>0</v>
      </c>
      <c r="J123" s="407"/>
    </row>
    <row r="124" spans="1:10">
      <c r="A124" s="425" t="s">
        <v>1140</v>
      </c>
      <c r="B124" s="426" t="s">
        <v>728</v>
      </c>
      <c r="C124" s="428">
        <v>94221143</v>
      </c>
      <c r="D124" s="428" t="s">
        <v>4</v>
      </c>
      <c r="E124" s="428">
        <v>1</v>
      </c>
      <c r="F124" s="476"/>
      <c r="G124" s="428">
        <v>1</v>
      </c>
      <c r="H124" s="463">
        <v>1</v>
      </c>
      <c r="I124" s="430">
        <v>0</v>
      </c>
      <c r="J124" s="407"/>
    </row>
    <row r="125" spans="1:10">
      <c r="A125" s="425" t="s">
        <v>1141</v>
      </c>
      <c r="B125" s="426" t="s">
        <v>729</v>
      </c>
      <c r="C125" s="428">
        <v>94221140</v>
      </c>
      <c r="D125" s="428" t="s">
        <v>4</v>
      </c>
      <c r="E125" s="428">
        <v>1</v>
      </c>
      <c r="F125" s="476"/>
      <c r="G125" s="428">
        <v>1</v>
      </c>
      <c r="H125" s="463">
        <v>1</v>
      </c>
      <c r="I125" s="430">
        <v>0</v>
      </c>
      <c r="J125" s="407"/>
    </row>
    <row r="126" spans="1:10" ht="15" customHeight="1">
      <c r="A126" s="425" t="s">
        <v>1142</v>
      </c>
      <c r="B126" s="426" t="s">
        <v>730</v>
      </c>
      <c r="C126" s="428">
        <v>94221141</v>
      </c>
      <c r="D126" s="428" t="s">
        <v>4</v>
      </c>
      <c r="E126" s="428">
        <v>3</v>
      </c>
      <c r="F126" s="476"/>
      <c r="G126" s="428">
        <v>3</v>
      </c>
      <c r="H126" s="463">
        <v>3</v>
      </c>
      <c r="I126" s="430">
        <v>0</v>
      </c>
      <c r="J126" s="407"/>
    </row>
    <row r="127" spans="1:10" ht="15" customHeight="1">
      <c r="A127" s="425" t="s">
        <v>1143</v>
      </c>
      <c r="B127" s="426" t="s">
        <v>1144</v>
      </c>
      <c r="C127" s="428">
        <v>94221142</v>
      </c>
      <c r="D127" s="428" t="s">
        <v>4</v>
      </c>
      <c r="E127" s="428">
        <v>1</v>
      </c>
      <c r="F127" s="476"/>
      <c r="G127" s="428">
        <v>1</v>
      </c>
      <c r="H127" s="463">
        <v>1</v>
      </c>
      <c r="I127" s="430">
        <v>0</v>
      </c>
      <c r="J127" s="407"/>
    </row>
    <row r="128" spans="1:10" ht="15" customHeight="1">
      <c r="A128" s="425" t="s">
        <v>1145</v>
      </c>
      <c r="B128" s="426" t="s">
        <v>1146</v>
      </c>
      <c r="C128" s="428">
        <v>94221144</v>
      </c>
      <c r="D128" s="428" t="s">
        <v>4</v>
      </c>
      <c r="E128" s="428">
        <v>1</v>
      </c>
      <c r="F128" s="476"/>
      <c r="G128" s="428">
        <v>1</v>
      </c>
      <c r="H128" s="463">
        <v>1</v>
      </c>
      <c r="I128" s="430">
        <v>0</v>
      </c>
      <c r="J128" s="407"/>
    </row>
    <row r="129" spans="1:10" ht="15" customHeight="1">
      <c r="A129" s="425" t="s">
        <v>1147</v>
      </c>
      <c r="B129" s="426" t="s">
        <v>733</v>
      </c>
      <c r="C129" s="428">
        <v>94221145</v>
      </c>
      <c r="D129" s="428" t="s">
        <v>4</v>
      </c>
      <c r="E129" s="428">
        <v>1</v>
      </c>
      <c r="F129" s="476"/>
      <c r="G129" s="428">
        <v>1</v>
      </c>
      <c r="H129" s="463"/>
      <c r="I129" s="430">
        <v>0</v>
      </c>
      <c r="J129" s="407"/>
    </row>
    <row r="130" spans="1:10" ht="15" customHeight="1">
      <c r="A130" s="425" t="s">
        <v>1148</v>
      </c>
      <c r="B130" s="426" t="s">
        <v>734</v>
      </c>
      <c r="C130" s="428">
        <v>94221147</v>
      </c>
      <c r="D130" s="428" t="s">
        <v>4</v>
      </c>
      <c r="E130" s="428">
        <v>8</v>
      </c>
      <c r="F130" s="476"/>
      <c r="G130" s="428">
        <v>8</v>
      </c>
      <c r="H130" s="463">
        <v>5</v>
      </c>
      <c r="I130" s="430">
        <v>0</v>
      </c>
      <c r="J130" s="407"/>
    </row>
    <row r="131" spans="1:10" ht="15" customHeight="1">
      <c r="A131" s="425" t="s">
        <v>1149</v>
      </c>
      <c r="B131" s="426" t="s">
        <v>735</v>
      </c>
      <c r="C131" s="428">
        <v>94221148</v>
      </c>
      <c r="D131" s="428" t="s">
        <v>4</v>
      </c>
      <c r="E131" s="428">
        <v>7</v>
      </c>
      <c r="F131" s="476"/>
      <c r="G131" s="428">
        <v>7</v>
      </c>
      <c r="H131" s="463">
        <v>3</v>
      </c>
      <c r="I131" s="430">
        <v>0</v>
      </c>
      <c r="J131" s="407"/>
    </row>
    <row r="132" spans="1:10" ht="15" customHeight="1">
      <c r="A132" s="425" t="s">
        <v>1150</v>
      </c>
      <c r="B132" s="426" t="s">
        <v>736</v>
      </c>
      <c r="C132" s="428">
        <v>94221150</v>
      </c>
      <c r="D132" s="428" t="s">
        <v>4</v>
      </c>
      <c r="E132" s="428">
        <v>2</v>
      </c>
      <c r="F132" s="476"/>
      <c r="G132" s="428">
        <v>2</v>
      </c>
      <c r="H132" s="463"/>
      <c r="I132" s="430">
        <v>2</v>
      </c>
      <c r="J132" s="407"/>
    </row>
    <row r="133" spans="1:10" ht="15" customHeight="1">
      <c r="A133" s="425" t="s">
        <v>1151</v>
      </c>
      <c r="B133" s="426" t="s">
        <v>737</v>
      </c>
      <c r="C133" s="428">
        <v>94221152</v>
      </c>
      <c r="D133" s="428" t="s">
        <v>4</v>
      </c>
      <c r="E133" s="428">
        <v>1</v>
      </c>
      <c r="F133" s="476"/>
      <c r="G133" s="428">
        <v>1</v>
      </c>
      <c r="H133" s="463">
        <v>1</v>
      </c>
      <c r="I133" s="430">
        <v>0</v>
      </c>
      <c r="J133" s="407"/>
    </row>
    <row r="134" spans="1:10" ht="17.25" customHeight="1">
      <c r="A134" s="425" t="s">
        <v>1152</v>
      </c>
      <c r="B134" s="426" t="s">
        <v>738</v>
      </c>
      <c r="C134" s="428">
        <v>94221153</v>
      </c>
      <c r="D134" s="428" t="s">
        <v>4</v>
      </c>
      <c r="E134" s="428">
        <v>1</v>
      </c>
      <c r="F134" s="476"/>
      <c r="G134" s="428">
        <v>1</v>
      </c>
      <c r="H134" s="463">
        <v>1</v>
      </c>
      <c r="I134" s="430">
        <v>0</v>
      </c>
      <c r="J134" s="407"/>
    </row>
    <row r="135" spans="1:10" ht="15" customHeight="1">
      <c r="A135" s="425" t="s">
        <v>1153</v>
      </c>
      <c r="B135" s="426" t="s">
        <v>739</v>
      </c>
      <c r="C135" s="428">
        <v>94221154</v>
      </c>
      <c r="D135" s="428" t="s">
        <v>4</v>
      </c>
      <c r="E135" s="428">
        <v>1</v>
      </c>
      <c r="F135" s="476"/>
      <c r="G135" s="428">
        <v>1</v>
      </c>
      <c r="H135" s="463"/>
      <c r="I135" s="430">
        <v>1</v>
      </c>
      <c r="J135" s="407"/>
    </row>
    <row r="136" spans="1:10" ht="15" customHeight="1">
      <c r="A136" s="425" t="s">
        <v>1154</v>
      </c>
      <c r="B136" s="426" t="s">
        <v>740</v>
      </c>
      <c r="C136" s="428">
        <v>94221155</v>
      </c>
      <c r="D136" s="428" t="s">
        <v>4</v>
      </c>
      <c r="E136" s="428">
        <v>1</v>
      </c>
      <c r="F136" s="477"/>
      <c r="G136" s="428">
        <v>1</v>
      </c>
      <c r="H136" s="463">
        <v>1</v>
      </c>
      <c r="I136" s="430">
        <v>0</v>
      </c>
      <c r="J136" s="407"/>
    </row>
    <row r="137" spans="1:10" ht="6" customHeight="1">
      <c r="A137" s="440"/>
      <c r="B137" s="441"/>
      <c r="C137" s="441"/>
      <c r="D137" s="441"/>
      <c r="E137" s="441"/>
      <c r="F137" s="441"/>
      <c r="G137" s="441"/>
      <c r="H137" s="441"/>
      <c r="I137" s="441"/>
      <c r="J137" s="407"/>
    </row>
    <row r="138" spans="1:10" ht="15" customHeight="1">
      <c r="A138" s="429">
        <v>10</v>
      </c>
      <c r="B138" s="420" t="s">
        <v>1155</v>
      </c>
      <c r="C138" s="443"/>
      <c r="D138" s="443"/>
      <c r="E138" s="443"/>
      <c r="F138" s="422"/>
      <c r="G138" s="423"/>
      <c r="H138" s="423"/>
      <c r="I138" s="424"/>
      <c r="J138" s="407"/>
    </row>
    <row r="139" spans="1:10" ht="15" customHeight="1">
      <c r="A139" s="429">
        <v>10.1</v>
      </c>
      <c r="B139" s="478" t="s">
        <v>1156</v>
      </c>
      <c r="C139" s="131" t="s">
        <v>402</v>
      </c>
      <c r="D139" s="428" t="s">
        <v>4</v>
      </c>
      <c r="E139" s="428">
        <v>4</v>
      </c>
      <c r="F139" s="479" t="s">
        <v>1157</v>
      </c>
      <c r="G139" s="428">
        <v>4</v>
      </c>
      <c r="H139" s="423"/>
      <c r="I139" s="428">
        <v>4</v>
      </c>
      <c r="J139" s="407"/>
    </row>
    <row r="140" spans="1:10" ht="15" customHeight="1">
      <c r="A140" s="429">
        <v>10.199999999999999</v>
      </c>
      <c r="B140" s="478" t="s">
        <v>1156</v>
      </c>
      <c r="C140" s="131" t="s">
        <v>403</v>
      </c>
      <c r="D140" s="428" t="s">
        <v>4</v>
      </c>
      <c r="E140" s="428">
        <v>4</v>
      </c>
      <c r="F140" s="480"/>
      <c r="G140" s="428">
        <v>4</v>
      </c>
      <c r="H140" s="423"/>
      <c r="I140" s="428">
        <v>4</v>
      </c>
      <c r="J140" s="407"/>
    </row>
    <row r="141" spans="1:10" ht="15" customHeight="1">
      <c r="A141" s="429">
        <v>10.3</v>
      </c>
      <c r="B141" s="478" t="s">
        <v>1158</v>
      </c>
      <c r="C141" s="131">
        <v>478035</v>
      </c>
      <c r="D141" s="428" t="s">
        <v>4</v>
      </c>
      <c r="E141" s="428">
        <v>24</v>
      </c>
      <c r="F141" s="480"/>
      <c r="G141" s="428">
        <v>24</v>
      </c>
      <c r="H141" s="423"/>
      <c r="I141" s="428">
        <v>24</v>
      </c>
      <c r="J141" s="407"/>
    </row>
    <row r="142" spans="1:10" ht="15" customHeight="1">
      <c r="A142" s="429">
        <v>10.4</v>
      </c>
      <c r="B142" s="478" t="s">
        <v>1159</v>
      </c>
      <c r="C142" s="131" t="s">
        <v>147</v>
      </c>
      <c r="D142" s="428" t="s">
        <v>4</v>
      </c>
      <c r="E142" s="428">
        <v>6</v>
      </c>
      <c r="F142" s="480"/>
      <c r="G142" s="428">
        <v>6</v>
      </c>
      <c r="H142" s="423"/>
      <c r="I142" s="428">
        <v>6</v>
      </c>
      <c r="J142" s="407"/>
    </row>
    <row r="143" spans="1:10" ht="15" customHeight="1">
      <c r="A143" s="429">
        <v>10.5</v>
      </c>
      <c r="B143" s="478" t="s">
        <v>1160</v>
      </c>
      <c r="C143" s="131">
        <v>477239</v>
      </c>
      <c r="D143" s="428" t="s">
        <v>4</v>
      </c>
      <c r="E143" s="428">
        <v>20</v>
      </c>
      <c r="F143" s="480"/>
      <c r="G143" s="428">
        <v>20</v>
      </c>
      <c r="H143" s="423"/>
      <c r="I143" s="428">
        <v>20</v>
      </c>
      <c r="J143" s="407"/>
    </row>
    <row r="144" spans="1:10" ht="15" customHeight="1">
      <c r="A144" s="429">
        <v>10.6</v>
      </c>
      <c r="B144" s="478" t="s">
        <v>1161</v>
      </c>
      <c r="C144" s="131" t="s">
        <v>7</v>
      </c>
      <c r="D144" s="428" t="s">
        <v>4</v>
      </c>
      <c r="E144" s="428">
        <v>120</v>
      </c>
      <c r="F144" s="480"/>
      <c r="G144" s="428">
        <v>120</v>
      </c>
      <c r="H144" s="423"/>
      <c r="I144" s="428">
        <v>120</v>
      </c>
      <c r="J144" s="407"/>
    </row>
    <row r="145" spans="1:10" ht="15" customHeight="1">
      <c r="A145" s="429">
        <v>10.7</v>
      </c>
      <c r="B145" s="478" t="s">
        <v>1162</v>
      </c>
      <c r="C145" s="131" t="s">
        <v>8</v>
      </c>
      <c r="D145" s="428" t="s">
        <v>4</v>
      </c>
      <c r="E145" s="428">
        <v>30</v>
      </c>
      <c r="F145" s="480"/>
      <c r="G145" s="428">
        <v>30</v>
      </c>
      <c r="H145" s="423"/>
      <c r="I145" s="428">
        <v>30</v>
      </c>
      <c r="J145" s="407"/>
    </row>
    <row r="146" spans="1:10" ht="15" customHeight="1">
      <c r="A146" s="429">
        <v>10.8</v>
      </c>
      <c r="B146" s="478" t="s">
        <v>1163</v>
      </c>
      <c r="C146" s="131" t="s">
        <v>9</v>
      </c>
      <c r="D146" s="428" t="s">
        <v>4</v>
      </c>
      <c r="E146" s="428">
        <v>6</v>
      </c>
      <c r="F146" s="480"/>
      <c r="G146" s="428">
        <v>6</v>
      </c>
      <c r="H146" s="423"/>
      <c r="I146" s="428">
        <v>6</v>
      </c>
      <c r="J146" s="407"/>
    </row>
    <row r="147" spans="1:10" ht="15" customHeight="1">
      <c r="A147" s="429">
        <v>10.9</v>
      </c>
      <c r="B147" s="478" t="s">
        <v>1164</v>
      </c>
      <c r="C147" s="131" t="s">
        <v>10</v>
      </c>
      <c r="D147" s="428" t="s">
        <v>4</v>
      </c>
      <c r="E147" s="428">
        <v>4</v>
      </c>
      <c r="F147" s="480"/>
      <c r="G147" s="428">
        <v>4</v>
      </c>
      <c r="H147" s="423"/>
      <c r="I147" s="428">
        <v>4</v>
      </c>
      <c r="J147" s="407"/>
    </row>
    <row r="148" spans="1:10" ht="15" customHeight="1">
      <c r="A148" s="481">
        <v>10.1</v>
      </c>
      <c r="B148" s="478" t="s">
        <v>1164</v>
      </c>
      <c r="C148" s="131" t="s">
        <v>11</v>
      </c>
      <c r="D148" s="428" t="s">
        <v>4</v>
      </c>
      <c r="E148" s="428">
        <v>4</v>
      </c>
      <c r="F148" s="480"/>
      <c r="G148" s="428">
        <v>4</v>
      </c>
      <c r="H148" s="423"/>
      <c r="I148" s="428">
        <v>4</v>
      </c>
      <c r="J148" s="407"/>
    </row>
    <row r="149" spans="1:10" ht="15" customHeight="1">
      <c r="A149" s="429">
        <v>10.11</v>
      </c>
      <c r="B149" s="478" t="s">
        <v>1164</v>
      </c>
      <c r="C149" s="131" t="s">
        <v>1165</v>
      </c>
      <c r="D149" s="428" t="s">
        <v>4</v>
      </c>
      <c r="E149" s="428">
        <v>2</v>
      </c>
      <c r="F149" s="480"/>
      <c r="G149" s="428">
        <v>2</v>
      </c>
      <c r="H149" s="423"/>
      <c r="I149" s="428">
        <v>2</v>
      </c>
      <c r="J149" s="407"/>
    </row>
    <row r="150" spans="1:10" ht="15" customHeight="1">
      <c r="A150" s="481">
        <v>10.119999999999999</v>
      </c>
      <c r="B150" s="478" t="s">
        <v>1166</v>
      </c>
      <c r="C150" s="131" t="s">
        <v>12</v>
      </c>
      <c r="D150" s="428" t="s">
        <v>4</v>
      </c>
      <c r="E150" s="428">
        <v>8</v>
      </c>
      <c r="F150" s="480"/>
      <c r="G150" s="428">
        <v>8</v>
      </c>
      <c r="H150" s="423"/>
      <c r="I150" s="428">
        <v>8</v>
      </c>
      <c r="J150" s="407"/>
    </row>
    <row r="151" spans="1:10" ht="15" customHeight="1">
      <c r="A151" s="429">
        <v>10.130000000000001</v>
      </c>
      <c r="B151" s="478" t="s">
        <v>1167</v>
      </c>
      <c r="C151" s="131" t="s">
        <v>406</v>
      </c>
      <c r="D151" s="428" t="s">
        <v>4</v>
      </c>
      <c r="E151" s="428">
        <v>6</v>
      </c>
      <c r="F151" s="480"/>
      <c r="G151" s="428">
        <v>6</v>
      </c>
      <c r="H151" s="423"/>
      <c r="I151" s="428">
        <v>6</v>
      </c>
      <c r="J151" s="407"/>
    </row>
    <row r="152" spans="1:10" ht="15" customHeight="1">
      <c r="A152" s="481">
        <v>10.14</v>
      </c>
      <c r="B152" s="478" t="s">
        <v>1168</v>
      </c>
      <c r="C152" s="131" t="s">
        <v>1169</v>
      </c>
      <c r="D152" s="428" t="s">
        <v>4</v>
      </c>
      <c r="E152" s="428">
        <v>10</v>
      </c>
      <c r="F152" s="480"/>
      <c r="G152" s="428">
        <v>8</v>
      </c>
      <c r="H152" s="423"/>
      <c r="I152" s="428">
        <v>7</v>
      </c>
      <c r="J152" s="407"/>
    </row>
    <row r="153" spans="1:10" ht="15" customHeight="1">
      <c r="A153" s="429">
        <v>10.15</v>
      </c>
      <c r="B153" s="478" t="s">
        <v>1170</v>
      </c>
      <c r="C153" s="131" t="s">
        <v>13</v>
      </c>
      <c r="D153" s="428" t="s">
        <v>4</v>
      </c>
      <c r="E153" s="428">
        <v>24</v>
      </c>
      <c r="F153" s="480"/>
      <c r="G153" s="428">
        <v>24</v>
      </c>
      <c r="H153" s="423"/>
      <c r="I153" s="428">
        <v>24</v>
      </c>
      <c r="J153" s="407"/>
    </row>
    <row r="154" spans="1:10" ht="15" customHeight="1">
      <c r="A154" s="481">
        <v>10.16</v>
      </c>
      <c r="B154" s="478" t="s">
        <v>1171</v>
      </c>
      <c r="C154" s="131" t="s">
        <v>408</v>
      </c>
      <c r="D154" s="428" t="s">
        <v>4</v>
      </c>
      <c r="E154" s="428">
        <v>6</v>
      </c>
      <c r="F154" s="480"/>
      <c r="G154" s="428">
        <v>6</v>
      </c>
      <c r="H154" s="423"/>
      <c r="I154" s="428">
        <v>6</v>
      </c>
      <c r="J154" s="407"/>
    </row>
    <row r="155" spans="1:10" ht="15" customHeight="1">
      <c r="A155" s="429">
        <v>10.17</v>
      </c>
      <c r="B155" s="478" t="s">
        <v>1172</v>
      </c>
      <c r="C155" s="131" t="s">
        <v>1173</v>
      </c>
      <c r="D155" s="428" t="s">
        <v>4</v>
      </c>
      <c r="E155" s="428">
        <v>4</v>
      </c>
      <c r="F155" s="480"/>
      <c r="G155" s="428">
        <v>4</v>
      </c>
      <c r="H155" s="423"/>
      <c r="I155" s="428">
        <v>4</v>
      </c>
      <c r="J155" s="407"/>
    </row>
    <row r="156" spans="1:10" ht="15" customHeight="1">
      <c r="A156" s="481">
        <v>10.18</v>
      </c>
      <c r="B156" s="478" t="s">
        <v>1172</v>
      </c>
      <c r="C156" s="131" t="s">
        <v>1174</v>
      </c>
      <c r="D156" s="428" t="s">
        <v>4</v>
      </c>
      <c r="E156" s="428">
        <v>4</v>
      </c>
      <c r="F156" s="480"/>
      <c r="G156" s="428">
        <v>4</v>
      </c>
      <c r="H156" s="423"/>
      <c r="I156" s="428">
        <v>4</v>
      </c>
      <c r="J156" s="407"/>
    </row>
    <row r="157" spans="1:10" ht="15" customHeight="1">
      <c r="A157" s="429">
        <v>10.19</v>
      </c>
      <c r="B157" s="478" t="s">
        <v>1175</v>
      </c>
      <c r="C157" s="131" t="s">
        <v>1176</v>
      </c>
      <c r="D157" s="428" t="s">
        <v>4</v>
      </c>
      <c r="E157" s="428">
        <v>6</v>
      </c>
      <c r="F157" s="480"/>
      <c r="G157" s="428">
        <v>6</v>
      </c>
      <c r="H157" s="423"/>
      <c r="I157" s="428">
        <v>6</v>
      </c>
      <c r="J157" s="407"/>
    </row>
    <row r="158" spans="1:10" ht="15" customHeight="1">
      <c r="A158" s="481">
        <v>10.199999999999999</v>
      </c>
      <c r="B158" s="478" t="s">
        <v>1175</v>
      </c>
      <c r="C158" s="131" t="s">
        <v>1177</v>
      </c>
      <c r="D158" s="428" t="s">
        <v>4</v>
      </c>
      <c r="E158" s="428">
        <v>6</v>
      </c>
      <c r="F158" s="480"/>
      <c r="G158" s="428">
        <v>6</v>
      </c>
      <c r="H158" s="423"/>
      <c r="I158" s="428">
        <v>6</v>
      </c>
      <c r="J158" s="407"/>
    </row>
    <row r="159" spans="1:10" ht="15" customHeight="1">
      <c r="A159" s="429">
        <v>10.210000000000001</v>
      </c>
      <c r="B159" s="478" t="s">
        <v>1178</v>
      </c>
      <c r="C159" s="131" t="s">
        <v>14</v>
      </c>
      <c r="D159" s="428" t="s">
        <v>4</v>
      </c>
      <c r="E159" s="428">
        <v>8</v>
      </c>
      <c r="F159" s="480"/>
      <c r="G159" s="428">
        <v>8</v>
      </c>
      <c r="H159" s="423"/>
      <c r="I159" s="428">
        <v>8</v>
      </c>
      <c r="J159" s="407"/>
    </row>
    <row r="160" spans="1:10" ht="15" customHeight="1">
      <c r="A160" s="481">
        <v>10.220000000000001</v>
      </c>
      <c r="B160" s="478" t="s">
        <v>1179</v>
      </c>
      <c r="C160" s="131" t="s">
        <v>1180</v>
      </c>
      <c r="D160" s="428" t="s">
        <v>4</v>
      </c>
      <c r="E160" s="428">
        <v>12</v>
      </c>
      <c r="F160" s="480"/>
      <c r="G160" s="428">
        <v>12</v>
      </c>
      <c r="H160" s="423"/>
      <c r="I160" s="428">
        <v>12</v>
      </c>
      <c r="J160" s="407"/>
    </row>
    <row r="161" spans="1:10" ht="15" customHeight="1">
      <c r="A161" s="429">
        <v>10.23</v>
      </c>
      <c r="B161" s="478" t="s">
        <v>1179</v>
      </c>
      <c r="C161" s="131" t="s">
        <v>152</v>
      </c>
      <c r="D161" s="428" t="s">
        <v>4</v>
      </c>
      <c r="E161" s="428">
        <v>12</v>
      </c>
      <c r="F161" s="480"/>
      <c r="G161" s="428">
        <v>12</v>
      </c>
      <c r="H161" s="423"/>
      <c r="I161" s="428">
        <v>12</v>
      </c>
      <c r="J161" s="407"/>
    </row>
    <row r="162" spans="1:10" ht="15" customHeight="1">
      <c r="A162" s="481">
        <v>10.24</v>
      </c>
      <c r="B162" s="478" t="s">
        <v>1181</v>
      </c>
      <c r="C162" s="131" t="s">
        <v>153</v>
      </c>
      <c r="D162" s="428" t="s">
        <v>4</v>
      </c>
      <c r="E162" s="428">
        <v>12</v>
      </c>
      <c r="F162" s="480"/>
      <c r="G162" s="428">
        <v>12</v>
      </c>
      <c r="H162" s="423"/>
      <c r="I162" s="428">
        <v>12</v>
      </c>
      <c r="J162" s="407"/>
    </row>
    <row r="163" spans="1:10" ht="15" customHeight="1">
      <c r="A163" s="429">
        <v>10.25</v>
      </c>
      <c r="B163" s="478" t="s">
        <v>1181</v>
      </c>
      <c r="C163" s="131" t="s">
        <v>15</v>
      </c>
      <c r="D163" s="428" t="s">
        <v>4</v>
      </c>
      <c r="E163" s="428">
        <v>12</v>
      </c>
      <c r="F163" s="480"/>
      <c r="G163" s="428">
        <v>12</v>
      </c>
      <c r="H163" s="423"/>
      <c r="I163" s="428">
        <v>12</v>
      </c>
      <c r="J163" s="407"/>
    </row>
    <row r="164" spans="1:10" ht="15" customHeight="1">
      <c r="A164" s="481">
        <v>10.26</v>
      </c>
      <c r="B164" s="478" t="s">
        <v>1181</v>
      </c>
      <c r="C164" s="131" t="s">
        <v>16</v>
      </c>
      <c r="D164" s="428" t="s">
        <v>4</v>
      </c>
      <c r="E164" s="428">
        <v>12</v>
      </c>
      <c r="F164" s="480"/>
      <c r="G164" s="428">
        <v>12</v>
      </c>
      <c r="H164" s="423"/>
      <c r="I164" s="428">
        <v>12</v>
      </c>
      <c r="J164" s="407"/>
    </row>
    <row r="165" spans="1:10" ht="15" customHeight="1">
      <c r="A165" s="429">
        <v>10.27</v>
      </c>
      <c r="B165" s="478" t="s">
        <v>1182</v>
      </c>
      <c r="C165" s="131" t="s">
        <v>17</v>
      </c>
      <c r="D165" s="428" t="s">
        <v>4</v>
      </c>
      <c r="E165" s="428">
        <v>24</v>
      </c>
      <c r="F165" s="480"/>
      <c r="G165" s="428">
        <v>24</v>
      </c>
      <c r="H165" s="423"/>
      <c r="I165" s="428">
        <v>24</v>
      </c>
      <c r="J165" s="407"/>
    </row>
    <row r="166" spans="1:10" ht="15" customHeight="1">
      <c r="A166" s="481">
        <v>10.28</v>
      </c>
      <c r="B166" s="478" t="s">
        <v>1182</v>
      </c>
      <c r="C166" s="131" t="s">
        <v>18</v>
      </c>
      <c r="D166" s="428" t="s">
        <v>4</v>
      </c>
      <c r="E166" s="428">
        <v>24</v>
      </c>
      <c r="F166" s="480"/>
      <c r="G166" s="428">
        <v>24</v>
      </c>
      <c r="H166" s="423"/>
      <c r="I166" s="428">
        <v>24</v>
      </c>
      <c r="J166" s="407"/>
    </row>
    <row r="167" spans="1:10" ht="15" customHeight="1">
      <c r="A167" s="429">
        <v>10.29</v>
      </c>
      <c r="B167" s="478" t="s">
        <v>1183</v>
      </c>
      <c r="C167" s="131" t="s">
        <v>19</v>
      </c>
      <c r="D167" s="428" t="s">
        <v>4</v>
      </c>
      <c r="E167" s="428">
        <v>6</v>
      </c>
      <c r="F167" s="480"/>
      <c r="G167" s="428">
        <v>6</v>
      </c>
      <c r="H167" s="423"/>
      <c r="I167" s="428">
        <v>6</v>
      </c>
      <c r="J167" s="407"/>
    </row>
    <row r="168" spans="1:10" ht="15" customHeight="1">
      <c r="A168" s="481">
        <v>10.3</v>
      </c>
      <c r="B168" s="478" t="s">
        <v>1184</v>
      </c>
      <c r="C168" s="131" t="s">
        <v>1185</v>
      </c>
      <c r="D168" s="428" t="s">
        <v>4</v>
      </c>
      <c r="E168" s="428">
        <v>6</v>
      </c>
      <c r="F168" s="480"/>
      <c r="G168" s="428">
        <v>6</v>
      </c>
      <c r="H168" s="423"/>
      <c r="I168" s="428">
        <v>6</v>
      </c>
      <c r="J168" s="407"/>
    </row>
    <row r="169" spans="1:10" ht="15" customHeight="1">
      <c r="A169" s="429">
        <v>10.31</v>
      </c>
      <c r="B169" s="478" t="s">
        <v>1186</v>
      </c>
      <c r="C169" s="131" t="s">
        <v>1187</v>
      </c>
      <c r="D169" s="428" t="s">
        <v>4</v>
      </c>
      <c r="E169" s="428">
        <v>10</v>
      </c>
      <c r="F169" s="482"/>
      <c r="G169" s="428">
        <v>10</v>
      </c>
      <c r="H169" s="423"/>
      <c r="I169" s="428">
        <v>10</v>
      </c>
      <c r="J169" s="407"/>
    </row>
    <row r="170" spans="1:10" ht="6.75" customHeight="1">
      <c r="A170" s="483"/>
      <c r="B170" s="484"/>
      <c r="C170" s="484"/>
      <c r="D170" s="484"/>
      <c r="E170" s="484"/>
      <c r="F170" s="484"/>
      <c r="G170" s="484"/>
      <c r="H170" s="484"/>
      <c r="I170" s="484"/>
      <c r="J170" s="407"/>
    </row>
    <row r="171" spans="1:10" ht="17.25" customHeight="1">
      <c r="A171" s="429">
        <v>11</v>
      </c>
      <c r="B171" s="485" t="s">
        <v>1188</v>
      </c>
      <c r="C171" s="486"/>
      <c r="D171" s="443"/>
      <c r="E171" s="443"/>
      <c r="F171" s="422"/>
      <c r="G171" s="423"/>
      <c r="H171" s="423"/>
      <c r="I171" s="424"/>
      <c r="J171" s="407"/>
    </row>
    <row r="172" spans="1:10" ht="17.25" customHeight="1">
      <c r="A172" s="429">
        <v>11.1</v>
      </c>
      <c r="B172" s="478" t="s">
        <v>1189</v>
      </c>
      <c r="C172" s="131" t="s">
        <v>66</v>
      </c>
      <c r="D172" s="487" t="s">
        <v>4</v>
      </c>
      <c r="E172" s="428">
        <v>1</v>
      </c>
      <c r="F172" s="435" t="s">
        <v>1157</v>
      </c>
      <c r="G172" s="429">
        <v>1</v>
      </c>
      <c r="H172" s="423"/>
      <c r="I172" s="488">
        <v>1</v>
      </c>
      <c r="J172" s="407"/>
    </row>
    <row r="173" spans="1:10" ht="17.25" customHeight="1">
      <c r="A173" s="429">
        <v>11.2</v>
      </c>
      <c r="B173" s="478" t="s">
        <v>1190</v>
      </c>
      <c r="C173" s="131" t="s">
        <v>580</v>
      </c>
      <c r="D173" s="487" t="s">
        <v>4</v>
      </c>
      <c r="E173" s="428">
        <v>2</v>
      </c>
      <c r="F173" s="437"/>
      <c r="G173" s="429">
        <v>2</v>
      </c>
      <c r="H173" s="423"/>
      <c r="I173" s="429">
        <v>2</v>
      </c>
      <c r="J173" s="407"/>
    </row>
    <row r="174" spans="1:10" ht="17.25" customHeight="1">
      <c r="A174" s="429">
        <v>11.3</v>
      </c>
      <c r="B174" s="478" t="s">
        <v>1191</v>
      </c>
      <c r="C174" s="131" t="s">
        <v>187</v>
      </c>
      <c r="D174" s="487" t="s">
        <v>4</v>
      </c>
      <c r="E174" s="428">
        <v>1</v>
      </c>
      <c r="F174" s="437"/>
      <c r="G174" s="429">
        <v>1</v>
      </c>
      <c r="H174" s="423"/>
      <c r="I174" s="429">
        <v>1</v>
      </c>
      <c r="J174" s="407"/>
    </row>
    <row r="175" spans="1:10" ht="17.25" customHeight="1">
      <c r="A175" s="429">
        <v>11.4</v>
      </c>
      <c r="B175" s="478" t="s">
        <v>1191</v>
      </c>
      <c r="C175" s="131" t="s">
        <v>87</v>
      </c>
      <c r="D175" s="487" t="s">
        <v>4</v>
      </c>
      <c r="E175" s="428">
        <v>1</v>
      </c>
      <c r="F175" s="437"/>
      <c r="G175" s="429">
        <v>1</v>
      </c>
      <c r="H175" s="423"/>
      <c r="I175" s="429">
        <v>1</v>
      </c>
      <c r="J175" s="407"/>
    </row>
    <row r="176" spans="1:10" ht="17.25" customHeight="1">
      <c r="A176" s="429">
        <v>11.5</v>
      </c>
      <c r="B176" s="478" t="s">
        <v>1191</v>
      </c>
      <c r="C176" s="131" t="s">
        <v>188</v>
      </c>
      <c r="D176" s="487" t="s">
        <v>4</v>
      </c>
      <c r="E176" s="428">
        <v>1</v>
      </c>
      <c r="F176" s="437"/>
      <c r="G176" s="429">
        <v>1</v>
      </c>
      <c r="H176" s="423"/>
      <c r="I176" s="429">
        <v>1</v>
      </c>
      <c r="J176" s="407"/>
    </row>
    <row r="177" spans="1:10" ht="17.25" customHeight="1">
      <c r="A177" s="429">
        <v>11.6</v>
      </c>
      <c r="B177" s="478" t="s">
        <v>1191</v>
      </c>
      <c r="C177" s="131" t="s">
        <v>1192</v>
      </c>
      <c r="D177" s="487" t="s">
        <v>4</v>
      </c>
      <c r="E177" s="428">
        <v>1</v>
      </c>
      <c r="F177" s="437"/>
      <c r="G177" s="429">
        <v>1</v>
      </c>
      <c r="H177" s="423"/>
      <c r="I177" s="429">
        <v>1</v>
      </c>
      <c r="J177" s="407"/>
    </row>
    <row r="178" spans="1:10" ht="17.25" customHeight="1">
      <c r="A178" s="429">
        <v>11.7</v>
      </c>
      <c r="B178" s="478" t="s">
        <v>1191</v>
      </c>
      <c r="C178" s="131" t="s">
        <v>88</v>
      </c>
      <c r="D178" s="487" t="s">
        <v>4</v>
      </c>
      <c r="E178" s="428">
        <v>1</v>
      </c>
      <c r="F178" s="437"/>
      <c r="G178" s="429">
        <v>1</v>
      </c>
      <c r="H178" s="423"/>
      <c r="I178" s="429">
        <v>1</v>
      </c>
      <c r="J178" s="407"/>
    </row>
    <row r="179" spans="1:10" ht="17.25" customHeight="1">
      <c r="A179" s="429">
        <v>11.8</v>
      </c>
      <c r="B179" s="478" t="s">
        <v>1191</v>
      </c>
      <c r="C179" s="131" t="s">
        <v>89</v>
      </c>
      <c r="D179" s="487" t="s">
        <v>4</v>
      </c>
      <c r="E179" s="428">
        <v>1</v>
      </c>
      <c r="F179" s="437"/>
      <c r="G179" s="429">
        <v>1</v>
      </c>
      <c r="H179" s="423"/>
      <c r="I179" s="429">
        <v>1</v>
      </c>
      <c r="J179" s="407"/>
    </row>
    <row r="180" spans="1:10" ht="17.25" customHeight="1">
      <c r="A180" s="429">
        <v>11.9</v>
      </c>
      <c r="B180" s="478" t="s">
        <v>1191</v>
      </c>
      <c r="C180" s="131" t="s">
        <v>90</v>
      </c>
      <c r="D180" s="487" t="s">
        <v>4</v>
      </c>
      <c r="E180" s="428">
        <v>1</v>
      </c>
      <c r="F180" s="437"/>
      <c r="G180" s="429">
        <v>1</v>
      </c>
      <c r="H180" s="423"/>
      <c r="I180" s="429">
        <v>1</v>
      </c>
      <c r="J180" s="407"/>
    </row>
    <row r="181" spans="1:10" ht="17.25" customHeight="1">
      <c r="A181" s="481">
        <v>11.1</v>
      </c>
      <c r="B181" s="478" t="s">
        <v>1191</v>
      </c>
      <c r="C181" s="131" t="s">
        <v>91</v>
      </c>
      <c r="D181" s="487" t="s">
        <v>4</v>
      </c>
      <c r="E181" s="428">
        <v>1</v>
      </c>
      <c r="F181" s="437"/>
      <c r="G181" s="429">
        <v>1</v>
      </c>
      <c r="H181" s="423"/>
      <c r="I181" s="429">
        <v>1</v>
      </c>
      <c r="J181" s="407"/>
    </row>
    <row r="182" spans="1:10" ht="17.25" customHeight="1">
      <c r="A182" s="429">
        <v>11.11</v>
      </c>
      <c r="B182" s="478" t="s">
        <v>1191</v>
      </c>
      <c r="C182" s="131" t="s">
        <v>85</v>
      </c>
      <c r="D182" s="487" t="s">
        <v>4</v>
      </c>
      <c r="E182" s="428">
        <v>1</v>
      </c>
      <c r="F182" s="437"/>
      <c r="G182" s="429">
        <v>1</v>
      </c>
      <c r="H182" s="423"/>
      <c r="I182" s="429">
        <v>1</v>
      </c>
      <c r="J182" s="407"/>
    </row>
    <row r="183" spans="1:10" ht="17.25" customHeight="1">
      <c r="A183" s="481">
        <v>11.12</v>
      </c>
      <c r="B183" s="478" t="s">
        <v>1191</v>
      </c>
      <c r="C183" s="131" t="s">
        <v>92</v>
      </c>
      <c r="D183" s="487" t="s">
        <v>4</v>
      </c>
      <c r="E183" s="428">
        <v>1</v>
      </c>
      <c r="F183" s="437"/>
      <c r="G183" s="429">
        <v>1</v>
      </c>
      <c r="H183" s="423"/>
      <c r="I183" s="429">
        <v>1</v>
      </c>
      <c r="J183" s="407"/>
    </row>
    <row r="184" spans="1:10" ht="17.25" customHeight="1">
      <c r="A184" s="429">
        <v>11.13</v>
      </c>
      <c r="B184" s="478" t="s">
        <v>1191</v>
      </c>
      <c r="C184" s="131" t="s">
        <v>1193</v>
      </c>
      <c r="D184" s="487" t="s">
        <v>4</v>
      </c>
      <c r="E184" s="428">
        <v>1</v>
      </c>
      <c r="F184" s="437"/>
      <c r="G184" s="429">
        <v>1</v>
      </c>
      <c r="H184" s="423"/>
      <c r="I184" s="429">
        <v>1</v>
      </c>
      <c r="J184" s="407"/>
    </row>
    <row r="185" spans="1:10" ht="17.25" customHeight="1">
      <c r="A185" s="481">
        <v>11.14</v>
      </c>
      <c r="B185" s="478" t="s">
        <v>1191</v>
      </c>
      <c r="C185" s="131" t="s">
        <v>93</v>
      </c>
      <c r="D185" s="487" t="s">
        <v>4</v>
      </c>
      <c r="E185" s="428">
        <v>1</v>
      </c>
      <c r="F185" s="437"/>
      <c r="G185" s="429">
        <v>1</v>
      </c>
      <c r="H185" s="423"/>
      <c r="I185" s="429">
        <v>1</v>
      </c>
      <c r="J185" s="407"/>
    </row>
    <row r="186" spans="1:10" ht="17.25" customHeight="1">
      <c r="A186" s="429">
        <v>11.15</v>
      </c>
      <c r="B186" s="478" t="s">
        <v>1191</v>
      </c>
      <c r="C186" s="131" t="s">
        <v>219</v>
      </c>
      <c r="D186" s="487" t="s">
        <v>4</v>
      </c>
      <c r="E186" s="428">
        <v>1</v>
      </c>
      <c r="F186" s="437"/>
      <c r="G186" s="429">
        <v>1</v>
      </c>
      <c r="H186" s="423"/>
      <c r="I186" s="429">
        <v>1</v>
      </c>
      <c r="J186" s="407"/>
    </row>
    <row r="187" spans="1:10" ht="17.25" customHeight="1">
      <c r="A187" s="481">
        <v>11.16</v>
      </c>
      <c r="B187" s="478" t="s">
        <v>1194</v>
      </c>
      <c r="C187" s="131" t="s">
        <v>591</v>
      </c>
      <c r="D187" s="487" t="s">
        <v>4</v>
      </c>
      <c r="E187" s="428">
        <v>1</v>
      </c>
      <c r="F187" s="437"/>
      <c r="G187" s="429">
        <v>1</v>
      </c>
      <c r="H187" s="423"/>
      <c r="I187" s="429">
        <v>1</v>
      </c>
      <c r="J187" s="407"/>
    </row>
    <row r="188" spans="1:10" ht="17.25" customHeight="1">
      <c r="A188" s="429">
        <v>11.17</v>
      </c>
      <c r="B188" s="478" t="s">
        <v>1194</v>
      </c>
      <c r="C188" s="131" t="s">
        <v>583</v>
      </c>
      <c r="D188" s="487" t="s">
        <v>4</v>
      </c>
      <c r="E188" s="428">
        <v>1</v>
      </c>
      <c r="F188" s="437"/>
      <c r="G188" s="429">
        <v>1</v>
      </c>
      <c r="H188" s="423"/>
      <c r="I188" s="429">
        <v>1</v>
      </c>
      <c r="J188" s="407"/>
    </row>
    <row r="189" spans="1:10" ht="17.25" customHeight="1">
      <c r="A189" s="481">
        <v>11.18</v>
      </c>
      <c r="B189" s="478" t="s">
        <v>1195</v>
      </c>
      <c r="C189" s="131" t="s">
        <v>1196</v>
      </c>
      <c r="D189" s="487" t="s">
        <v>4</v>
      </c>
      <c r="E189" s="428">
        <v>1</v>
      </c>
      <c r="F189" s="437"/>
      <c r="G189" s="429">
        <v>1</v>
      </c>
      <c r="H189" s="423"/>
      <c r="I189" s="429">
        <v>1</v>
      </c>
      <c r="J189" s="407"/>
    </row>
    <row r="190" spans="1:10" ht="17.25" customHeight="1">
      <c r="A190" s="429">
        <v>11.19</v>
      </c>
      <c r="B190" s="478" t="s">
        <v>1195</v>
      </c>
      <c r="C190" s="131" t="s">
        <v>95</v>
      </c>
      <c r="D190" s="487" t="s">
        <v>4</v>
      </c>
      <c r="E190" s="428">
        <v>1</v>
      </c>
      <c r="F190" s="437"/>
      <c r="G190" s="429">
        <v>1</v>
      </c>
      <c r="H190" s="423"/>
      <c r="I190" s="429">
        <v>1</v>
      </c>
      <c r="J190" s="407"/>
    </row>
    <row r="191" spans="1:10" ht="17.25" customHeight="1">
      <c r="A191" s="481">
        <v>11.2</v>
      </c>
      <c r="B191" s="478" t="s">
        <v>1197</v>
      </c>
      <c r="C191" s="131" t="s">
        <v>1198</v>
      </c>
      <c r="D191" s="487" t="s">
        <v>4</v>
      </c>
      <c r="E191" s="428">
        <v>2</v>
      </c>
      <c r="F191" s="437"/>
      <c r="G191" s="429">
        <v>2</v>
      </c>
      <c r="H191" s="423"/>
      <c r="I191" s="429">
        <v>2</v>
      </c>
      <c r="J191" s="407"/>
    </row>
    <row r="192" spans="1:10" ht="17.25" customHeight="1">
      <c r="A192" s="429">
        <v>11.21</v>
      </c>
      <c r="B192" s="478" t="s">
        <v>1199</v>
      </c>
      <c r="C192" s="131" t="s">
        <v>192</v>
      </c>
      <c r="D192" s="487" t="s">
        <v>4</v>
      </c>
      <c r="E192" s="428">
        <v>2</v>
      </c>
      <c r="F192" s="437"/>
      <c r="G192" s="429">
        <v>1</v>
      </c>
      <c r="H192" s="423"/>
      <c r="I192" s="429">
        <v>1</v>
      </c>
      <c r="J192" s="407"/>
    </row>
    <row r="193" spans="1:10" ht="17.25" customHeight="1">
      <c r="A193" s="481">
        <v>11.22</v>
      </c>
      <c r="B193" s="478" t="s">
        <v>1200</v>
      </c>
      <c r="C193" s="131" t="s">
        <v>193</v>
      </c>
      <c r="D193" s="487" t="s">
        <v>4</v>
      </c>
      <c r="E193" s="428">
        <v>2</v>
      </c>
      <c r="F193" s="437"/>
      <c r="G193" s="429">
        <v>1</v>
      </c>
      <c r="H193" s="423"/>
      <c r="I193" s="429">
        <v>1</v>
      </c>
      <c r="J193" s="407"/>
    </row>
    <row r="194" spans="1:10" ht="17.25" customHeight="1">
      <c r="A194" s="429">
        <v>11.23</v>
      </c>
      <c r="B194" s="478" t="s">
        <v>1200</v>
      </c>
      <c r="C194" s="131" t="s">
        <v>194</v>
      </c>
      <c r="D194" s="487" t="s">
        <v>4</v>
      </c>
      <c r="E194" s="428">
        <v>2</v>
      </c>
      <c r="F194" s="437"/>
      <c r="G194" s="429">
        <v>2</v>
      </c>
      <c r="H194" s="423"/>
      <c r="I194" s="429">
        <v>2</v>
      </c>
      <c r="J194" s="407"/>
    </row>
    <row r="195" spans="1:10" ht="31.5" customHeight="1">
      <c r="A195" s="481">
        <v>11.24</v>
      </c>
      <c r="B195" s="478" t="s">
        <v>1201</v>
      </c>
      <c r="C195" s="131" t="s">
        <v>1202</v>
      </c>
      <c r="D195" s="487" t="s">
        <v>4</v>
      </c>
      <c r="E195" s="487">
        <v>1</v>
      </c>
      <c r="F195" s="437"/>
      <c r="G195" s="540" t="s">
        <v>1014</v>
      </c>
      <c r="H195" s="423"/>
      <c r="I195" s="488">
        <v>0</v>
      </c>
      <c r="J195" s="407"/>
    </row>
    <row r="196" spans="1:10" ht="17.25" customHeight="1">
      <c r="A196" s="429">
        <v>11.25</v>
      </c>
      <c r="B196" s="478" t="s">
        <v>1203</v>
      </c>
      <c r="C196" s="131" t="s">
        <v>73</v>
      </c>
      <c r="D196" s="487" t="s">
        <v>4</v>
      </c>
      <c r="E196" s="428">
        <v>1</v>
      </c>
      <c r="F196" s="437"/>
      <c r="G196" s="429">
        <v>1</v>
      </c>
      <c r="H196" s="423"/>
      <c r="I196" s="429">
        <v>1</v>
      </c>
      <c r="J196" s="407"/>
    </row>
    <row r="197" spans="1:10" ht="17.25" customHeight="1">
      <c r="A197" s="481">
        <v>11.26</v>
      </c>
      <c r="B197" s="478" t="s">
        <v>1203</v>
      </c>
      <c r="C197" s="131" t="s">
        <v>96</v>
      </c>
      <c r="D197" s="487" t="s">
        <v>4</v>
      </c>
      <c r="E197" s="428">
        <v>1</v>
      </c>
      <c r="F197" s="437"/>
      <c r="G197" s="429">
        <v>1</v>
      </c>
      <c r="H197" s="423"/>
      <c r="I197" s="429">
        <v>1</v>
      </c>
      <c r="J197" s="407"/>
    </row>
    <row r="198" spans="1:10" ht="17.25" customHeight="1">
      <c r="A198" s="429">
        <v>11.27</v>
      </c>
      <c r="B198" s="478" t="s">
        <v>1203</v>
      </c>
      <c r="C198" s="131" t="s">
        <v>74</v>
      </c>
      <c r="D198" s="487" t="s">
        <v>4</v>
      </c>
      <c r="E198" s="428">
        <v>1</v>
      </c>
      <c r="F198" s="437"/>
      <c r="G198" s="429">
        <v>1</v>
      </c>
      <c r="H198" s="423"/>
      <c r="I198" s="429">
        <v>1</v>
      </c>
      <c r="J198" s="407"/>
    </row>
    <row r="199" spans="1:10" ht="17.25" customHeight="1">
      <c r="A199" s="481">
        <v>11.28</v>
      </c>
      <c r="B199" s="478" t="s">
        <v>1204</v>
      </c>
      <c r="C199" s="131" t="s">
        <v>195</v>
      </c>
      <c r="D199" s="487" t="s">
        <v>4</v>
      </c>
      <c r="E199" s="428">
        <v>1</v>
      </c>
      <c r="F199" s="437"/>
      <c r="G199" s="429">
        <v>1</v>
      </c>
      <c r="H199" s="423"/>
      <c r="I199" s="429">
        <v>1</v>
      </c>
      <c r="J199" s="407"/>
    </row>
    <row r="200" spans="1:10" ht="17.25" customHeight="1">
      <c r="A200" s="429">
        <v>11.29</v>
      </c>
      <c r="B200" s="478" t="s">
        <v>1204</v>
      </c>
      <c r="C200" s="131" t="s">
        <v>196</v>
      </c>
      <c r="D200" s="487" t="s">
        <v>4</v>
      </c>
      <c r="E200" s="428">
        <v>1</v>
      </c>
      <c r="F200" s="437"/>
      <c r="G200" s="429">
        <v>1</v>
      </c>
      <c r="H200" s="423"/>
      <c r="I200" s="429">
        <v>1</v>
      </c>
      <c r="J200" s="407"/>
    </row>
    <row r="201" spans="1:10" ht="17.25" customHeight="1">
      <c r="A201" s="481">
        <v>11.3</v>
      </c>
      <c r="B201" s="478" t="s">
        <v>1204</v>
      </c>
      <c r="C201" s="131" t="s">
        <v>76</v>
      </c>
      <c r="D201" s="487" t="s">
        <v>4</v>
      </c>
      <c r="E201" s="428">
        <v>1</v>
      </c>
      <c r="F201" s="437"/>
      <c r="G201" s="429">
        <v>1</v>
      </c>
      <c r="H201" s="423"/>
      <c r="I201" s="429">
        <v>1</v>
      </c>
      <c r="J201" s="407"/>
    </row>
    <row r="202" spans="1:10" ht="17.25" customHeight="1">
      <c r="A202" s="429">
        <v>11.31</v>
      </c>
      <c r="B202" s="478" t="s">
        <v>1204</v>
      </c>
      <c r="C202" s="131" t="s">
        <v>1205</v>
      </c>
      <c r="D202" s="487" t="s">
        <v>4</v>
      </c>
      <c r="E202" s="428">
        <v>1</v>
      </c>
      <c r="F202" s="437"/>
      <c r="G202" s="429">
        <v>1</v>
      </c>
      <c r="H202" s="423"/>
      <c r="I202" s="429">
        <v>1</v>
      </c>
      <c r="J202" s="407"/>
    </row>
    <row r="203" spans="1:10" ht="17.25" customHeight="1">
      <c r="A203" s="481">
        <v>11.32</v>
      </c>
      <c r="B203" s="478" t="s">
        <v>1204</v>
      </c>
      <c r="C203" s="131" t="s">
        <v>78</v>
      </c>
      <c r="D203" s="487" t="s">
        <v>4</v>
      </c>
      <c r="E203" s="428">
        <v>1</v>
      </c>
      <c r="F203" s="437"/>
      <c r="G203" s="429">
        <v>1</v>
      </c>
      <c r="H203" s="423"/>
      <c r="I203" s="429">
        <v>1</v>
      </c>
      <c r="J203" s="407"/>
    </row>
    <row r="204" spans="1:10" ht="17.25" customHeight="1">
      <c r="A204" s="429">
        <v>11.33</v>
      </c>
      <c r="B204" s="478" t="s">
        <v>1206</v>
      </c>
      <c r="C204" s="131" t="s">
        <v>97</v>
      </c>
      <c r="D204" s="487" t="s">
        <v>4</v>
      </c>
      <c r="E204" s="428">
        <v>1</v>
      </c>
      <c r="F204" s="437"/>
      <c r="G204" s="429">
        <v>1</v>
      </c>
      <c r="H204" s="423"/>
      <c r="I204" s="429">
        <v>1</v>
      </c>
      <c r="J204" s="407"/>
    </row>
    <row r="205" spans="1:10" ht="17.25" customHeight="1">
      <c r="A205" s="481">
        <v>11.34</v>
      </c>
      <c r="B205" s="478" t="s">
        <v>1207</v>
      </c>
      <c r="C205" s="131" t="s">
        <v>1208</v>
      </c>
      <c r="D205" s="487" t="s">
        <v>4</v>
      </c>
      <c r="E205" s="428">
        <v>1</v>
      </c>
      <c r="F205" s="437"/>
      <c r="G205" s="429">
        <v>1</v>
      </c>
      <c r="H205" s="423"/>
      <c r="I205" s="429">
        <v>1</v>
      </c>
      <c r="J205" s="407"/>
    </row>
    <row r="206" spans="1:10" ht="17.25" customHeight="1">
      <c r="A206" s="429">
        <v>11.35</v>
      </c>
      <c r="B206" s="478" t="s">
        <v>1209</v>
      </c>
      <c r="C206" s="131" t="s">
        <v>198</v>
      </c>
      <c r="D206" s="487" t="s">
        <v>4</v>
      </c>
      <c r="E206" s="428">
        <v>1</v>
      </c>
      <c r="F206" s="437"/>
      <c r="G206" s="429">
        <v>1</v>
      </c>
      <c r="H206" s="423"/>
      <c r="I206" s="429">
        <v>1</v>
      </c>
      <c r="J206" s="407"/>
    </row>
    <row r="207" spans="1:10" ht="17.25" customHeight="1">
      <c r="A207" s="481">
        <v>11.36</v>
      </c>
      <c r="B207" s="478" t="s">
        <v>1210</v>
      </c>
      <c r="C207" s="131" t="s">
        <v>67</v>
      </c>
      <c r="D207" s="487" t="s">
        <v>4</v>
      </c>
      <c r="E207" s="428">
        <v>1</v>
      </c>
      <c r="F207" s="437"/>
      <c r="G207" s="429">
        <v>1</v>
      </c>
      <c r="H207" s="423"/>
      <c r="I207" s="429">
        <v>1</v>
      </c>
      <c r="J207" s="407"/>
    </row>
    <row r="208" spans="1:10" ht="17.25" customHeight="1">
      <c r="A208" s="429">
        <v>11.37</v>
      </c>
      <c r="B208" s="478" t="s">
        <v>1211</v>
      </c>
      <c r="C208" s="131" t="s">
        <v>99</v>
      </c>
      <c r="D208" s="487" t="s">
        <v>4</v>
      </c>
      <c r="E208" s="428">
        <v>1</v>
      </c>
      <c r="F208" s="437"/>
      <c r="G208" s="429">
        <v>1</v>
      </c>
      <c r="H208" s="423"/>
      <c r="I208" s="429">
        <v>1</v>
      </c>
      <c r="J208" s="407"/>
    </row>
    <row r="209" spans="1:10" ht="17.25" customHeight="1">
      <c r="A209" s="481">
        <v>11.38</v>
      </c>
      <c r="B209" s="478" t="s">
        <v>1212</v>
      </c>
      <c r="C209" s="131" t="s">
        <v>86</v>
      </c>
      <c r="D209" s="487" t="s">
        <v>4</v>
      </c>
      <c r="E209" s="428">
        <v>1</v>
      </c>
      <c r="F209" s="437"/>
      <c r="G209" s="429">
        <v>1</v>
      </c>
      <c r="H209" s="423"/>
      <c r="I209" s="429">
        <v>1</v>
      </c>
      <c r="J209" s="407"/>
    </row>
    <row r="210" spans="1:10" ht="17.25" customHeight="1">
      <c r="A210" s="429">
        <v>11.39</v>
      </c>
      <c r="B210" s="478" t="s">
        <v>1213</v>
      </c>
      <c r="C210" s="131" t="s">
        <v>200</v>
      </c>
      <c r="D210" s="487" t="s">
        <v>4</v>
      </c>
      <c r="E210" s="428">
        <v>1</v>
      </c>
      <c r="F210" s="437"/>
      <c r="G210" s="429">
        <v>1</v>
      </c>
      <c r="H210" s="429">
        <v>1</v>
      </c>
      <c r="I210" s="429">
        <v>0</v>
      </c>
      <c r="J210" s="407"/>
    </row>
    <row r="211" spans="1:10" ht="17.25" customHeight="1">
      <c r="A211" s="481">
        <v>11.4</v>
      </c>
      <c r="B211" s="478" t="s">
        <v>1213</v>
      </c>
      <c r="C211" s="131" t="s">
        <v>100</v>
      </c>
      <c r="D211" s="487" t="s">
        <v>4</v>
      </c>
      <c r="E211" s="428">
        <v>1</v>
      </c>
      <c r="F211" s="437"/>
      <c r="G211" s="429">
        <v>1</v>
      </c>
      <c r="H211" s="423"/>
      <c r="I211" s="429">
        <v>1</v>
      </c>
      <c r="J211" s="407"/>
    </row>
    <row r="212" spans="1:10" ht="17.25" customHeight="1">
      <c r="A212" s="429">
        <v>11.41</v>
      </c>
      <c r="B212" s="478" t="s">
        <v>1213</v>
      </c>
      <c r="C212" s="131" t="s">
        <v>84</v>
      </c>
      <c r="D212" s="487" t="s">
        <v>4</v>
      </c>
      <c r="E212" s="428">
        <v>1</v>
      </c>
      <c r="F212" s="437"/>
      <c r="G212" s="429">
        <v>1</v>
      </c>
      <c r="H212" s="423"/>
      <c r="I212" s="429">
        <v>1</v>
      </c>
      <c r="J212" s="407"/>
    </row>
    <row r="213" spans="1:10" ht="17.25" customHeight="1">
      <c r="A213" s="481">
        <v>11.42</v>
      </c>
      <c r="B213" s="478" t="s">
        <v>1214</v>
      </c>
      <c r="C213" s="131" t="s">
        <v>101</v>
      </c>
      <c r="D213" s="487" t="s">
        <v>4</v>
      </c>
      <c r="E213" s="428">
        <v>1</v>
      </c>
      <c r="F213" s="437"/>
      <c r="G213" s="429">
        <v>1</v>
      </c>
      <c r="H213" s="423"/>
      <c r="I213" s="429">
        <v>1</v>
      </c>
      <c r="J213" s="407"/>
    </row>
    <row r="214" spans="1:10" ht="17.25" customHeight="1">
      <c r="A214" s="429">
        <v>11.43</v>
      </c>
      <c r="B214" s="478" t="s">
        <v>1214</v>
      </c>
      <c r="C214" s="131" t="s">
        <v>102</v>
      </c>
      <c r="D214" s="487" t="s">
        <v>4</v>
      </c>
      <c r="E214" s="428">
        <v>1</v>
      </c>
      <c r="F214" s="437"/>
      <c r="G214" s="429">
        <v>1</v>
      </c>
      <c r="H214" s="423"/>
      <c r="I214" s="429">
        <v>0</v>
      </c>
      <c r="J214" s="407"/>
    </row>
    <row r="215" spans="1:10" ht="17.25" customHeight="1">
      <c r="A215" s="481">
        <v>11.44</v>
      </c>
      <c r="B215" s="478" t="s">
        <v>1214</v>
      </c>
      <c r="C215" s="131" t="s">
        <v>1215</v>
      </c>
      <c r="D215" s="487" t="s">
        <v>4</v>
      </c>
      <c r="E215" s="428">
        <v>1</v>
      </c>
      <c r="F215" s="437"/>
      <c r="G215" s="429">
        <v>1</v>
      </c>
      <c r="H215" s="423"/>
      <c r="I215" s="429">
        <v>1</v>
      </c>
      <c r="J215" s="407"/>
    </row>
    <row r="216" spans="1:10" ht="17.25" customHeight="1">
      <c r="A216" s="429">
        <v>11.45</v>
      </c>
      <c r="B216" s="478" t="s">
        <v>1214</v>
      </c>
      <c r="C216" s="131" t="s">
        <v>1216</v>
      </c>
      <c r="D216" s="487" t="s">
        <v>4</v>
      </c>
      <c r="E216" s="428">
        <v>1</v>
      </c>
      <c r="F216" s="437"/>
      <c r="G216" s="429">
        <v>1</v>
      </c>
      <c r="H216" s="423"/>
      <c r="I216" s="429">
        <v>1</v>
      </c>
      <c r="J216" s="407"/>
    </row>
    <row r="217" spans="1:10" ht="17.25" customHeight="1">
      <c r="A217" s="429">
        <v>11.46</v>
      </c>
      <c r="B217" s="478" t="s">
        <v>1214</v>
      </c>
      <c r="C217" s="131" t="s">
        <v>1217</v>
      </c>
      <c r="D217" s="487" t="s">
        <v>4</v>
      </c>
      <c r="E217" s="428">
        <v>1</v>
      </c>
      <c r="F217" s="437"/>
      <c r="G217" s="429">
        <v>1</v>
      </c>
      <c r="H217" s="423"/>
      <c r="I217" s="429">
        <v>1</v>
      </c>
      <c r="J217" s="407"/>
    </row>
    <row r="218" spans="1:10" ht="17.25" customHeight="1">
      <c r="A218" s="481">
        <v>11.47</v>
      </c>
      <c r="B218" s="478" t="s">
        <v>1214</v>
      </c>
      <c r="C218" s="131" t="s">
        <v>105</v>
      </c>
      <c r="D218" s="487" t="s">
        <v>4</v>
      </c>
      <c r="E218" s="428">
        <v>1</v>
      </c>
      <c r="F218" s="437"/>
      <c r="G218" s="429">
        <v>1</v>
      </c>
      <c r="H218" s="423"/>
      <c r="I218" s="429">
        <v>1</v>
      </c>
      <c r="J218" s="407"/>
    </row>
    <row r="219" spans="1:10" ht="17.25" customHeight="1">
      <c r="A219" s="429">
        <v>11.48</v>
      </c>
      <c r="B219" s="478" t="s">
        <v>1214</v>
      </c>
      <c r="C219" s="131" t="s">
        <v>1218</v>
      </c>
      <c r="D219" s="487" t="s">
        <v>4</v>
      </c>
      <c r="E219" s="428">
        <v>1</v>
      </c>
      <c r="F219" s="437"/>
      <c r="G219" s="429">
        <v>1</v>
      </c>
      <c r="H219" s="423"/>
      <c r="I219" s="429">
        <v>1</v>
      </c>
      <c r="J219" s="407"/>
    </row>
    <row r="220" spans="1:10" ht="17.25" customHeight="1">
      <c r="A220" s="429">
        <v>11.49</v>
      </c>
      <c r="B220" s="478" t="s">
        <v>1219</v>
      </c>
      <c r="C220" s="131" t="s">
        <v>220</v>
      </c>
      <c r="D220" s="487" t="s">
        <v>4</v>
      </c>
      <c r="E220" s="428">
        <v>1</v>
      </c>
      <c r="F220" s="437"/>
      <c r="G220" s="429">
        <v>1</v>
      </c>
      <c r="H220" s="423"/>
      <c r="I220" s="429">
        <v>1</v>
      </c>
      <c r="J220" s="407"/>
    </row>
    <row r="221" spans="1:10" ht="17.25" customHeight="1">
      <c r="A221" s="481">
        <v>11.5</v>
      </c>
      <c r="B221" s="478" t="s">
        <v>1220</v>
      </c>
      <c r="C221" s="131" t="s">
        <v>106</v>
      </c>
      <c r="D221" s="487" t="s">
        <v>4</v>
      </c>
      <c r="E221" s="428">
        <v>1</v>
      </c>
      <c r="F221" s="437"/>
      <c r="G221" s="429">
        <v>1</v>
      </c>
      <c r="H221" s="423"/>
      <c r="I221" s="429">
        <v>1</v>
      </c>
      <c r="J221" s="407"/>
    </row>
    <row r="222" spans="1:10" ht="17.25" customHeight="1">
      <c r="A222" s="429">
        <v>11.51</v>
      </c>
      <c r="B222" s="478" t="s">
        <v>1220</v>
      </c>
      <c r="C222" s="131" t="s">
        <v>107</v>
      </c>
      <c r="D222" s="487" t="s">
        <v>4</v>
      </c>
      <c r="E222" s="428">
        <v>1</v>
      </c>
      <c r="F222" s="437"/>
      <c r="G222" s="429">
        <v>1</v>
      </c>
      <c r="H222" s="423"/>
      <c r="I222" s="429">
        <v>1</v>
      </c>
      <c r="J222" s="407"/>
    </row>
    <row r="223" spans="1:10" ht="17.25" customHeight="1">
      <c r="A223" s="429">
        <v>11.52</v>
      </c>
      <c r="B223" s="478" t="s">
        <v>1221</v>
      </c>
      <c r="C223" s="131" t="s">
        <v>69</v>
      </c>
      <c r="D223" s="487" t="s">
        <v>4</v>
      </c>
      <c r="E223" s="428">
        <v>1</v>
      </c>
      <c r="F223" s="437"/>
      <c r="G223" s="429">
        <v>1</v>
      </c>
      <c r="H223" s="423"/>
      <c r="I223" s="429">
        <v>1</v>
      </c>
      <c r="J223" s="407"/>
    </row>
    <row r="224" spans="1:10" ht="17.25" customHeight="1">
      <c r="A224" s="481">
        <v>11.53</v>
      </c>
      <c r="B224" s="478" t="s">
        <v>1222</v>
      </c>
      <c r="C224" s="131" t="s">
        <v>203</v>
      </c>
      <c r="D224" s="487" t="s">
        <v>4</v>
      </c>
      <c r="E224" s="428">
        <v>1</v>
      </c>
      <c r="F224" s="437"/>
      <c r="G224" s="429">
        <v>1</v>
      </c>
      <c r="H224" s="423"/>
      <c r="I224" s="429">
        <v>1</v>
      </c>
      <c r="J224" s="407"/>
    </row>
    <row r="225" spans="1:10" ht="17.25" customHeight="1">
      <c r="A225" s="429">
        <v>11.54</v>
      </c>
      <c r="B225" s="478" t="s">
        <v>1222</v>
      </c>
      <c r="C225" s="131" t="s">
        <v>108</v>
      </c>
      <c r="D225" s="487" t="s">
        <v>4</v>
      </c>
      <c r="E225" s="428">
        <v>1</v>
      </c>
      <c r="F225" s="437"/>
      <c r="G225" s="429">
        <v>1</v>
      </c>
      <c r="H225" s="423"/>
      <c r="I225" s="429">
        <v>1</v>
      </c>
      <c r="J225" s="407"/>
    </row>
    <row r="226" spans="1:10" ht="17.25" customHeight="1">
      <c r="A226" s="429">
        <v>11.55</v>
      </c>
      <c r="B226" s="478" t="s">
        <v>1222</v>
      </c>
      <c r="C226" s="131" t="s">
        <v>585</v>
      </c>
      <c r="D226" s="487" t="s">
        <v>4</v>
      </c>
      <c r="E226" s="428">
        <v>1</v>
      </c>
      <c r="F226" s="437"/>
      <c r="G226" s="429">
        <v>1</v>
      </c>
      <c r="H226" s="423"/>
      <c r="I226" s="429">
        <v>1</v>
      </c>
      <c r="J226" s="407"/>
    </row>
    <row r="227" spans="1:10" ht="17.25" customHeight="1">
      <c r="A227" s="481">
        <v>11.56</v>
      </c>
      <c r="B227" s="478" t="s">
        <v>1223</v>
      </c>
      <c r="C227" s="131" t="s">
        <v>109</v>
      </c>
      <c r="D227" s="487" t="s">
        <v>4</v>
      </c>
      <c r="E227" s="428">
        <v>1</v>
      </c>
      <c r="F227" s="437"/>
      <c r="G227" s="429">
        <v>1</v>
      </c>
      <c r="H227" s="423"/>
      <c r="I227" s="429">
        <v>1</v>
      </c>
      <c r="J227" s="407"/>
    </row>
    <row r="228" spans="1:10" ht="17.25" customHeight="1">
      <c r="A228" s="429">
        <v>11.57</v>
      </c>
      <c r="B228" s="478" t="s">
        <v>1224</v>
      </c>
      <c r="C228" s="131" t="s">
        <v>587</v>
      </c>
      <c r="D228" s="487" t="s">
        <v>4</v>
      </c>
      <c r="E228" s="428">
        <v>1</v>
      </c>
      <c r="F228" s="437"/>
      <c r="G228" s="429">
        <v>1</v>
      </c>
      <c r="H228" s="423"/>
      <c r="I228" s="429">
        <v>1</v>
      </c>
      <c r="J228" s="407"/>
    </row>
    <row r="229" spans="1:10" ht="17.25" customHeight="1">
      <c r="A229" s="429">
        <v>11.58</v>
      </c>
      <c r="B229" s="478" t="s">
        <v>1225</v>
      </c>
      <c r="C229" s="131" t="s">
        <v>110</v>
      </c>
      <c r="D229" s="487" t="s">
        <v>4</v>
      </c>
      <c r="E229" s="428">
        <v>1</v>
      </c>
      <c r="F229" s="439"/>
      <c r="G229" s="429">
        <v>1</v>
      </c>
      <c r="H229" s="423"/>
      <c r="I229" s="429">
        <v>1</v>
      </c>
      <c r="J229" s="407"/>
    </row>
    <row r="230" spans="1:10" ht="17.25" customHeight="1">
      <c r="A230" s="481">
        <v>11.59</v>
      </c>
      <c r="B230" s="478" t="s">
        <v>1225</v>
      </c>
      <c r="C230" s="131" t="s">
        <v>111</v>
      </c>
      <c r="D230" s="487" t="s">
        <v>4</v>
      </c>
      <c r="E230" s="428">
        <v>1</v>
      </c>
      <c r="F230" s="435" t="s">
        <v>1157</v>
      </c>
      <c r="G230" s="429">
        <v>1</v>
      </c>
      <c r="H230" s="423"/>
      <c r="I230" s="429">
        <v>1</v>
      </c>
      <c r="J230" s="407"/>
    </row>
    <row r="231" spans="1:10" ht="17.25" customHeight="1">
      <c r="A231" s="429">
        <v>11.6</v>
      </c>
      <c r="B231" s="478" t="s">
        <v>1226</v>
      </c>
      <c r="C231" s="131" t="s">
        <v>204</v>
      </c>
      <c r="D231" s="487" t="s">
        <v>4</v>
      </c>
      <c r="E231" s="428">
        <v>1</v>
      </c>
      <c r="F231" s="437"/>
      <c r="G231" s="429">
        <v>1</v>
      </c>
      <c r="H231" s="423"/>
      <c r="I231" s="429">
        <v>1</v>
      </c>
      <c r="J231" s="407"/>
    </row>
    <row r="232" spans="1:10" ht="17.25" customHeight="1">
      <c r="A232" s="429">
        <v>11.61</v>
      </c>
      <c r="B232" s="478" t="s">
        <v>1227</v>
      </c>
      <c r="C232" s="131" t="s">
        <v>112</v>
      </c>
      <c r="D232" s="487" t="s">
        <v>4</v>
      </c>
      <c r="E232" s="428">
        <v>2</v>
      </c>
      <c r="F232" s="437"/>
      <c r="G232" s="429">
        <v>2</v>
      </c>
      <c r="H232" s="423"/>
      <c r="I232" s="429">
        <v>2</v>
      </c>
      <c r="J232" s="407"/>
    </row>
    <row r="233" spans="1:10" ht="17.25" customHeight="1">
      <c r="A233" s="481">
        <v>11.62</v>
      </c>
      <c r="B233" s="478" t="s">
        <v>1228</v>
      </c>
      <c r="C233" s="131" t="s">
        <v>113</v>
      </c>
      <c r="D233" s="487" t="s">
        <v>4</v>
      </c>
      <c r="E233" s="428">
        <v>2</v>
      </c>
      <c r="F233" s="437"/>
      <c r="G233" s="429">
        <v>2</v>
      </c>
      <c r="H233" s="423"/>
      <c r="I233" s="429">
        <v>2</v>
      </c>
      <c r="J233" s="407"/>
    </row>
    <row r="234" spans="1:10" ht="15" customHeight="1">
      <c r="A234" s="429">
        <v>11.63</v>
      </c>
      <c r="B234" s="478" t="s">
        <v>1228</v>
      </c>
      <c r="C234" s="131" t="s">
        <v>114</v>
      </c>
      <c r="D234" s="487" t="s">
        <v>4</v>
      </c>
      <c r="E234" s="428">
        <v>2</v>
      </c>
      <c r="F234" s="437"/>
      <c r="G234" s="429">
        <v>2</v>
      </c>
      <c r="H234" s="423"/>
      <c r="I234" s="429">
        <v>2</v>
      </c>
      <c r="J234" s="407"/>
    </row>
    <row r="235" spans="1:10" ht="15" customHeight="1">
      <c r="A235" s="429">
        <v>11.641</v>
      </c>
      <c r="B235" s="478" t="s">
        <v>1229</v>
      </c>
      <c r="C235" s="131" t="s">
        <v>115</v>
      </c>
      <c r="D235" s="487" t="s">
        <v>4</v>
      </c>
      <c r="E235" s="428">
        <v>1</v>
      </c>
      <c r="F235" s="437"/>
      <c r="G235" s="429" t="s">
        <v>1230</v>
      </c>
      <c r="H235" s="423"/>
      <c r="I235" s="429" t="s">
        <v>1230</v>
      </c>
      <c r="J235" s="407"/>
    </row>
    <row r="236" spans="1:10" ht="15" customHeight="1">
      <c r="A236" s="481">
        <v>11.65</v>
      </c>
      <c r="B236" s="478" t="s">
        <v>1231</v>
      </c>
      <c r="C236" s="131" t="s">
        <v>79</v>
      </c>
      <c r="D236" s="487" t="s">
        <v>4</v>
      </c>
      <c r="E236" s="428">
        <v>1</v>
      </c>
      <c r="F236" s="437"/>
      <c r="G236" s="429">
        <v>1</v>
      </c>
      <c r="H236" s="423"/>
      <c r="I236" s="429">
        <v>1</v>
      </c>
      <c r="J236" s="407"/>
    </row>
    <row r="237" spans="1:10" ht="15" customHeight="1">
      <c r="A237" s="429">
        <v>11.66</v>
      </c>
      <c r="B237" s="478" t="s">
        <v>1231</v>
      </c>
      <c r="C237" s="131" t="s">
        <v>186</v>
      </c>
      <c r="D237" s="487" t="s">
        <v>4</v>
      </c>
      <c r="E237" s="428">
        <v>1</v>
      </c>
      <c r="F237" s="437"/>
      <c r="G237" s="429">
        <v>1</v>
      </c>
      <c r="H237" s="423"/>
      <c r="I237" s="429">
        <v>1</v>
      </c>
      <c r="J237" s="407"/>
    </row>
    <row r="238" spans="1:10" ht="15" customHeight="1">
      <c r="A238" s="429">
        <v>11.67</v>
      </c>
      <c r="B238" s="478" t="s">
        <v>1231</v>
      </c>
      <c r="C238" s="131" t="s">
        <v>80</v>
      </c>
      <c r="D238" s="487" t="s">
        <v>4</v>
      </c>
      <c r="E238" s="428">
        <v>1</v>
      </c>
      <c r="F238" s="437"/>
      <c r="G238" s="429">
        <v>1</v>
      </c>
      <c r="H238" s="423"/>
      <c r="I238" s="429">
        <v>1</v>
      </c>
      <c r="J238" s="407"/>
    </row>
    <row r="239" spans="1:10" ht="15" customHeight="1">
      <c r="A239" s="481">
        <v>11.68</v>
      </c>
      <c r="B239" s="478" t="s">
        <v>1231</v>
      </c>
      <c r="C239" s="131" t="s">
        <v>119</v>
      </c>
      <c r="D239" s="487" t="s">
        <v>4</v>
      </c>
      <c r="E239" s="428">
        <v>1</v>
      </c>
      <c r="F239" s="437"/>
      <c r="G239" s="429">
        <v>1</v>
      </c>
      <c r="H239" s="423"/>
      <c r="I239" s="429">
        <v>1</v>
      </c>
      <c r="J239" s="407"/>
    </row>
    <row r="240" spans="1:10" ht="15" customHeight="1">
      <c r="A240" s="429">
        <v>11.69</v>
      </c>
      <c r="B240" s="478" t="s">
        <v>1231</v>
      </c>
      <c r="C240" s="131" t="s">
        <v>81</v>
      </c>
      <c r="D240" s="487" t="s">
        <v>4</v>
      </c>
      <c r="E240" s="428">
        <v>1</v>
      </c>
      <c r="F240" s="437"/>
      <c r="G240" s="429">
        <v>1</v>
      </c>
      <c r="H240" s="423"/>
      <c r="I240" s="429">
        <v>1</v>
      </c>
      <c r="J240" s="407"/>
    </row>
    <row r="241" spans="1:10" ht="15" customHeight="1">
      <c r="A241" s="429">
        <v>11.7</v>
      </c>
      <c r="B241" s="478" t="s">
        <v>1231</v>
      </c>
      <c r="C241" s="131" t="s">
        <v>82</v>
      </c>
      <c r="D241" s="487" t="s">
        <v>4</v>
      </c>
      <c r="E241" s="428">
        <v>1</v>
      </c>
      <c r="F241" s="437"/>
      <c r="G241" s="429">
        <v>1</v>
      </c>
      <c r="H241" s="423"/>
      <c r="I241" s="429">
        <v>1</v>
      </c>
      <c r="J241" s="407"/>
    </row>
    <row r="242" spans="1:10" ht="15" customHeight="1">
      <c r="A242" s="481">
        <v>11.71</v>
      </c>
      <c r="B242" s="478" t="s">
        <v>1231</v>
      </c>
      <c r="C242" s="131" t="s">
        <v>83</v>
      </c>
      <c r="D242" s="487" t="s">
        <v>4</v>
      </c>
      <c r="E242" s="428">
        <v>1</v>
      </c>
      <c r="F242" s="437"/>
      <c r="G242" s="429">
        <v>1</v>
      </c>
      <c r="H242" s="423"/>
      <c r="I242" s="429">
        <v>1</v>
      </c>
      <c r="J242" s="407"/>
    </row>
    <row r="243" spans="1:10" ht="15" customHeight="1">
      <c r="A243" s="429">
        <v>11.72</v>
      </c>
      <c r="B243" s="478" t="s">
        <v>1232</v>
      </c>
      <c r="C243" s="131" t="s">
        <v>75</v>
      </c>
      <c r="D243" s="487" t="s">
        <v>4</v>
      </c>
      <c r="E243" s="428">
        <v>2</v>
      </c>
      <c r="F243" s="437"/>
      <c r="G243" s="429">
        <v>2</v>
      </c>
      <c r="H243" s="423"/>
      <c r="I243" s="429">
        <v>2</v>
      </c>
      <c r="J243" s="407"/>
    </row>
    <row r="244" spans="1:10" ht="15" customHeight="1">
      <c r="A244" s="429">
        <v>11.73</v>
      </c>
      <c r="B244" s="478" t="s">
        <v>1233</v>
      </c>
      <c r="C244" s="131" t="s">
        <v>589</v>
      </c>
      <c r="D244" s="487" t="s">
        <v>4</v>
      </c>
      <c r="E244" s="428">
        <v>2</v>
      </c>
      <c r="F244" s="437"/>
      <c r="G244" s="429">
        <v>2</v>
      </c>
      <c r="H244" s="423"/>
      <c r="I244" s="429">
        <v>2</v>
      </c>
      <c r="J244" s="407"/>
    </row>
    <row r="245" spans="1:10" ht="15" customHeight="1">
      <c r="A245" s="481">
        <v>11.74</v>
      </c>
      <c r="B245" s="478" t="s">
        <v>1234</v>
      </c>
      <c r="C245" s="131" t="s">
        <v>206</v>
      </c>
      <c r="D245" s="487" t="s">
        <v>4</v>
      </c>
      <c r="E245" s="428">
        <v>1</v>
      </c>
      <c r="F245" s="437"/>
      <c r="G245" s="429">
        <v>1</v>
      </c>
      <c r="H245" s="423"/>
      <c r="I245" s="429">
        <v>1</v>
      </c>
      <c r="J245" s="407"/>
    </row>
    <row r="246" spans="1:10" ht="15" customHeight="1">
      <c r="A246" s="429">
        <v>11.75</v>
      </c>
      <c r="B246" s="478" t="s">
        <v>1235</v>
      </c>
      <c r="C246" s="131" t="s">
        <v>116</v>
      </c>
      <c r="D246" s="487" t="s">
        <v>4</v>
      </c>
      <c r="E246" s="428">
        <v>1</v>
      </c>
      <c r="F246" s="437"/>
      <c r="G246" s="429">
        <v>1</v>
      </c>
      <c r="H246" s="423"/>
      <c r="I246" s="429">
        <v>1</v>
      </c>
      <c r="J246" s="407"/>
    </row>
    <row r="247" spans="1:10" ht="15" customHeight="1">
      <c r="A247" s="429">
        <v>11.76</v>
      </c>
      <c r="B247" s="478" t="s">
        <v>1235</v>
      </c>
      <c r="C247" s="131" t="s">
        <v>208</v>
      </c>
      <c r="D247" s="487" t="s">
        <v>4</v>
      </c>
      <c r="E247" s="428">
        <v>1</v>
      </c>
      <c r="F247" s="437"/>
      <c r="G247" s="429">
        <v>1</v>
      </c>
      <c r="H247" s="423"/>
      <c r="I247" s="429">
        <v>1</v>
      </c>
      <c r="J247" s="407"/>
    </row>
    <row r="248" spans="1:10" ht="15" customHeight="1">
      <c r="A248" s="481">
        <v>11.77</v>
      </c>
      <c r="B248" s="478" t="s">
        <v>1236</v>
      </c>
      <c r="C248" s="131" t="s">
        <v>209</v>
      </c>
      <c r="D248" s="487" t="s">
        <v>4</v>
      </c>
      <c r="E248" s="428">
        <v>1</v>
      </c>
      <c r="F248" s="437"/>
      <c r="G248" s="429">
        <v>1</v>
      </c>
      <c r="H248" s="423"/>
      <c r="I248" s="429">
        <v>1</v>
      </c>
      <c r="J248" s="407"/>
    </row>
    <row r="249" spans="1:10" ht="15" customHeight="1">
      <c r="A249" s="429">
        <v>11.78</v>
      </c>
      <c r="B249" s="478" t="s">
        <v>1236</v>
      </c>
      <c r="C249" s="131" t="s">
        <v>211</v>
      </c>
      <c r="D249" s="487" t="s">
        <v>4</v>
      </c>
      <c r="E249" s="428">
        <v>1</v>
      </c>
      <c r="F249" s="437"/>
      <c r="G249" s="429">
        <v>1</v>
      </c>
      <c r="H249" s="423"/>
      <c r="I249" s="429">
        <v>1</v>
      </c>
      <c r="J249" s="407"/>
    </row>
    <row r="250" spans="1:10" ht="15" customHeight="1">
      <c r="A250" s="429">
        <v>11.79</v>
      </c>
      <c r="B250" s="478" t="s">
        <v>1237</v>
      </c>
      <c r="C250" s="131" t="s">
        <v>68</v>
      </c>
      <c r="D250" s="487" t="s">
        <v>4</v>
      </c>
      <c r="E250" s="428">
        <v>1</v>
      </c>
      <c r="F250" s="437"/>
      <c r="G250" s="429">
        <v>1</v>
      </c>
      <c r="H250" s="423"/>
      <c r="I250" s="429">
        <v>1</v>
      </c>
      <c r="J250" s="407"/>
    </row>
    <row r="251" spans="1:10" ht="15" customHeight="1">
      <c r="A251" s="481">
        <v>11.8</v>
      </c>
      <c r="B251" s="478" t="s">
        <v>1238</v>
      </c>
      <c r="C251" s="131" t="s">
        <v>117</v>
      </c>
      <c r="D251" s="487" t="s">
        <v>4</v>
      </c>
      <c r="E251" s="428">
        <v>1</v>
      </c>
      <c r="F251" s="437"/>
      <c r="G251" s="429">
        <v>1</v>
      </c>
      <c r="H251" s="423"/>
      <c r="I251" s="429">
        <v>1</v>
      </c>
      <c r="J251" s="407"/>
    </row>
    <row r="252" spans="1:10" ht="15" customHeight="1">
      <c r="A252" s="429">
        <v>11.81</v>
      </c>
      <c r="B252" s="478" t="s">
        <v>1239</v>
      </c>
      <c r="C252" s="131" t="s">
        <v>70</v>
      </c>
      <c r="D252" s="487" t="s">
        <v>4</v>
      </c>
      <c r="E252" s="428">
        <v>1</v>
      </c>
      <c r="F252" s="437"/>
      <c r="G252" s="429">
        <v>1</v>
      </c>
      <c r="H252" s="423"/>
      <c r="I252" s="429">
        <v>1</v>
      </c>
      <c r="J252" s="407"/>
    </row>
    <row r="253" spans="1:10" ht="15" customHeight="1">
      <c r="A253" s="429">
        <v>11.82</v>
      </c>
      <c r="B253" s="478" t="s">
        <v>1240</v>
      </c>
      <c r="C253" s="131" t="s">
        <v>65</v>
      </c>
      <c r="D253" s="487" t="s">
        <v>4</v>
      </c>
      <c r="E253" s="428">
        <v>1</v>
      </c>
      <c r="F253" s="437"/>
      <c r="G253" s="429">
        <v>1</v>
      </c>
      <c r="H253" s="423"/>
      <c r="I253" s="429">
        <v>1</v>
      </c>
      <c r="J253" s="407"/>
    </row>
    <row r="254" spans="1:10" ht="15" customHeight="1">
      <c r="A254" s="481">
        <v>11.83</v>
      </c>
      <c r="B254" s="478" t="s">
        <v>1241</v>
      </c>
      <c r="C254" s="131" t="s">
        <v>212</v>
      </c>
      <c r="D254" s="487" t="s">
        <v>4</v>
      </c>
      <c r="E254" s="428">
        <v>2</v>
      </c>
      <c r="F254" s="437"/>
      <c r="G254" s="429">
        <v>1</v>
      </c>
      <c r="H254" s="423"/>
      <c r="I254" s="429">
        <v>1</v>
      </c>
      <c r="J254" s="407"/>
    </row>
    <row r="255" spans="1:10" ht="15" customHeight="1">
      <c r="A255" s="429">
        <v>11.84</v>
      </c>
      <c r="B255" s="478" t="s">
        <v>1242</v>
      </c>
      <c r="C255" s="131" t="s">
        <v>71</v>
      </c>
      <c r="D255" s="487" t="s">
        <v>4</v>
      </c>
      <c r="E255" s="428">
        <v>1</v>
      </c>
      <c r="F255" s="437"/>
      <c r="G255" s="429">
        <v>1</v>
      </c>
      <c r="H255" s="423"/>
      <c r="I255" s="429">
        <v>1</v>
      </c>
      <c r="J255" s="407"/>
    </row>
    <row r="256" spans="1:10" ht="15" customHeight="1">
      <c r="A256" s="429">
        <v>11.85</v>
      </c>
      <c r="B256" s="478" t="s">
        <v>1242</v>
      </c>
      <c r="C256" s="131" t="s">
        <v>72</v>
      </c>
      <c r="D256" s="487" t="s">
        <v>4</v>
      </c>
      <c r="E256" s="428">
        <v>1</v>
      </c>
      <c r="F256" s="437"/>
      <c r="G256" s="429">
        <v>1</v>
      </c>
      <c r="H256" s="423"/>
      <c r="I256" s="429">
        <v>1</v>
      </c>
      <c r="J256" s="407"/>
    </row>
    <row r="257" spans="1:10" ht="15" customHeight="1">
      <c r="A257" s="481">
        <v>11.86</v>
      </c>
      <c r="B257" s="478" t="s">
        <v>1242</v>
      </c>
      <c r="C257" s="131" t="s">
        <v>118</v>
      </c>
      <c r="D257" s="487" t="s">
        <v>4</v>
      </c>
      <c r="E257" s="428">
        <v>2</v>
      </c>
      <c r="F257" s="437"/>
      <c r="G257" s="429">
        <v>2</v>
      </c>
      <c r="H257" s="423"/>
      <c r="I257" s="429">
        <v>2</v>
      </c>
      <c r="J257" s="407"/>
    </row>
    <row r="258" spans="1:10" ht="15" customHeight="1">
      <c r="A258" s="429">
        <v>11.87</v>
      </c>
      <c r="B258" s="478" t="s">
        <v>1243</v>
      </c>
      <c r="C258" s="131" t="s">
        <v>214</v>
      </c>
      <c r="D258" s="487" t="s">
        <v>4</v>
      </c>
      <c r="E258" s="428">
        <v>1</v>
      </c>
      <c r="F258" s="437"/>
      <c r="G258" s="429">
        <v>1</v>
      </c>
      <c r="H258" s="423"/>
      <c r="I258" s="429">
        <v>1</v>
      </c>
      <c r="J258" s="407"/>
    </row>
    <row r="259" spans="1:10" ht="15" customHeight="1">
      <c r="A259" s="429">
        <v>11.88</v>
      </c>
      <c r="B259" s="478" t="s">
        <v>1244</v>
      </c>
      <c r="C259" s="131" t="s">
        <v>216</v>
      </c>
      <c r="D259" s="487" t="s">
        <v>4</v>
      </c>
      <c r="E259" s="428">
        <v>1</v>
      </c>
      <c r="F259" s="437"/>
      <c r="G259" s="429">
        <v>1</v>
      </c>
      <c r="H259" s="423"/>
      <c r="I259" s="429">
        <v>1</v>
      </c>
      <c r="J259" s="407"/>
    </row>
    <row r="260" spans="1:10" ht="15" customHeight="1">
      <c r="A260" s="481">
        <v>11.89</v>
      </c>
      <c r="B260" s="478" t="s">
        <v>1244</v>
      </c>
      <c r="C260" s="131" t="s">
        <v>218</v>
      </c>
      <c r="D260" s="487" t="s">
        <v>4</v>
      </c>
      <c r="E260" s="428">
        <v>1</v>
      </c>
      <c r="F260" s="437"/>
      <c r="G260" s="429">
        <v>1</v>
      </c>
      <c r="H260" s="423"/>
      <c r="I260" s="429">
        <v>1</v>
      </c>
      <c r="J260" s="407"/>
    </row>
    <row r="261" spans="1:10" ht="15" customHeight="1">
      <c r="A261" s="481">
        <v>11.9</v>
      </c>
      <c r="B261" s="478" t="s">
        <v>1245</v>
      </c>
      <c r="C261" s="131" t="s">
        <v>1246</v>
      </c>
      <c r="D261" s="487" t="s">
        <v>4</v>
      </c>
      <c r="E261" s="428">
        <v>2</v>
      </c>
      <c r="F261" s="439"/>
      <c r="G261" s="541" t="s">
        <v>1014</v>
      </c>
      <c r="H261" s="423"/>
      <c r="I261" s="429">
        <v>0</v>
      </c>
      <c r="J261" s="407"/>
    </row>
    <row r="262" spans="1:10" ht="21.75" customHeight="1">
      <c r="A262" s="489"/>
      <c r="B262" s="490"/>
      <c r="C262" s="490"/>
      <c r="D262" s="490"/>
      <c r="E262" s="490"/>
      <c r="F262" s="490"/>
      <c r="G262" s="490"/>
      <c r="H262" s="490"/>
      <c r="I262" s="490"/>
      <c r="J262" s="407"/>
    </row>
    <row r="263" spans="1:10">
      <c r="A263" s="419">
        <v>12</v>
      </c>
      <c r="B263" s="491" t="s">
        <v>1247</v>
      </c>
      <c r="C263" s="492"/>
      <c r="D263" s="492"/>
      <c r="E263" s="492"/>
      <c r="F263" s="493"/>
      <c r="G263" s="529"/>
      <c r="H263" s="423"/>
      <c r="I263" s="424"/>
      <c r="J263" s="407"/>
    </row>
    <row r="264" spans="1:10">
      <c r="A264" s="428">
        <v>12.1</v>
      </c>
      <c r="B264" s="423" t="s">
        <v>1248</v>
      </c>
      <c r="C264" s="429" t="s">
        <v>1249</v>
      </c>
      <c r="D264" s="487" t="s">
        <v>4</v>
      </c>
      <c r="E264" s="429">
        <v>10</v>
      </c>
      <c r="F264" s="435" t="s">
        <v>1250</v>
      </c>
      <c r="G264" s="429">
        <v>10</v>
      </c>
      <c r="H264" s="423"/>
      <c r="I264" s="429">
        <v>10</v>
      </c>
      <c r="J264" s="407"/>
    </row>
    <row r="265" spans="1:10">
      <c r="A265" s="428">
        <v>12.2</v>
      </c>
      <c r="B265" s="423" t="s">
        <v>1251</v>
      </c>
      <c r="C265" s="429" t="s">
        <v>1252</v>
      </c>
      <c r="D265" s="487" t="s">
        <v>4</v>
      </c>
      <c r="E265" s="429">
        <v>5</v>
      </c>
      <c r="F265" s="437"/>
      <c r="G265" s="429">
        <v>5</v>
      </c>
      <c r="H265" s="423"/>
      <c r="I265" s="429">
        <v>5</v>
      </c>
      <c r="J265" s="407"/>
    </row>
    <row r="266" spans="1:10">
      <c r="A266" s="428">
        <v>12.3</v>
      </c>
      <c r="B266" s="423" t="s">
        <v>1253</v>
      </c>
      <c r="C266" s="429" t="s">
        <v>1254</v>
      </c>
      <c r="D266" s="487" t="s">
        <v>4</v>
      </c>
      <c r="E266" s="429">
        <v>5</v>
      </c>
      <c r="F266" s="437"/>
      <c r="G266" s="429">
        <v>5</v>
      </c>
      <c r="H266" s="423"/>
      <c r="I266" s="429">
        <v>5</v>
      </c>
      <c r="J266" s="407"/>
    </row>
    <row r="267" spans="1:10">
      <c r="A267" s="428">
        <v>12.4</v>
      </c>
      <c r="B267" s="423" t="s">
        <v>1255</v>
      </c>
      <c r="C267" s="429" t="s">
        <v>1256</v>
      </c>
      <c r="D267" s="487" t="s">
        <v>4</v>
      </c>
      <c r="E267" s="429">
        <v>3</v>
      </c>
      <c r="F267" s="437"/>
      <c r="G267" s="429">
        <v>3</v>
      </c>
      <c r="H267" s="423"/>
      <c r="I267" s="429">
        <v>3</v>
      </c>
      <c r="J267" s="407"/>
    </row>
    <row r="268" spans="1:10">
      <c r="A268" s="428">
        <v>12.5</v>
      </c>
      <c r="B268" s="423" t="s">
        <v>1257</v>
      </c>
      <c r="C268" s="429" t="s">
        <v>1258</v>
      </c>
      <c r="D268" s="487" t="s">
        <v>4</v>
      </c>
      <c r="E268" s="429">
        <v>3</v>
      </c>
      <c r="F268" s="437"/>
      <c r="G268" s="429">
        <v>3</v>
      </c>
      <c r="H268" s="423"/>
      <c r="I268" s="429">
        <v>3</v>
      </c>
      <c r="J268" s="407"/>
    </row>
    <row r="269" spans="1:10">
      <c r="A269" s="428">
        <v>12.6</v>
      </c>
      <c r="B269" s="423" t="s">
        <v>1259</v>
      </c>
      <c r="C269" s="429" t="s">
        <v>1260</v>
      </c>
      <c r="D269" s="487" t="s">
        <v>4</v>
      </c>
      <c r="E269" s="429">
        <v>6</v>
      </c>
      <c r="F269" s="437"/>
      <c r="G269" s="429">
        <v>6</v>
      </c>
      <c r="H269" s="423"/>
      <c r="I269" s="429">
        <v>6</v>
      </c>
      <c r="J269" s="407"/>
    </row>
    <row r="270" spans="1:10">
      <c r="A270" s="428">
        <v>12.7</v>
      </c>
      <c r="B270" s="423" t="s">
        <v>1261</v>
      </c>
      <c r="C270" s="429" t="s">
        <v>1262</v>
      </c>
      <c r="D270" s="487" t="s">
        <v>4</v>
      </c>
      <c r="E270" s="429">
        <v>4</v>
      </c>
      <c r="F270" s="437"/>
      <c r="G270" s="429">
        <v>4</v>
      </c>
      <c r="H270" s="423"/>
      <c r="I270" s="429">
        <v>4</v>
      </c>
      <c r="J270" s="407"/>
    </row>
    <row r="271" spans="1:10">
      <c r="A271" s="428">
        <v>12.8</v>
      </c>
      <c r="B271" s="423" t="s">
        <v>1263</v>
      </c>
      <c r="C271" s="429" t="s">
        <v>1264</v>
      </c>
      <c r="D271" s="487" t="s">
        <v>4</v>
      </c>
      <c r="E271" s="429">
        <v>5</v>
      </c>
      <c r="F271" s="437"/>
      <c r="G271" s="429">
        <v>5</v>
      </c>
      <c r="H271" s="423"/>
      <c r="I271" s="429">
        <v>5</v>
      </c>
      <c r="J271" s="407"/>
    </row>
    <row r="272" spans="1:10">
      <c r="A272" s="428">
        <v>12.9</v>
      </c>
      <c r="B272" s="423" t="s">
        <v>1265</v>
      </c>
      <c r="C272" s="429" t="s">
        <v>1266</v>
      </c>
      <c r="D272" s="487" t="s">
        <v>4</v>
      </c>
      <c r="E272" s="429">
        <v>5</v>
      </c>
      <c r="F272" s="437"/>
      <c r="G272" s="429">
        <v>5</v>
      </c>
      <c r="H272" s="423"/>
      <c r="I272" s="429">
        <v>5</v>
      </c>
      <c r="J272" s="407"/>
    </row>
    <row r="273" spans="1:10" ht="29.25" customHeight="1">
      <c r="A273" s="494">
        <v>12.1</v>
      </c>
      <c r="B273" s="495" t="s">
        <v>1267</v>
      </c>
      <c r="C273" s="451" t="s">
        <v>1268</v>
      </c>
      <c r="D273" s="487" t="s">
        <v>4</v>
      </c>
      <c r="E273" s="488">
        <v>5</v>
      </c>
      <c r="F273" s="439"/>
      <c r="G273" s="488">
        <v>5</v>
      </c>
      <c r="H273" s="423"/>
      <c r="I273" s="488">
        <v>5</v>
      </c>
      <c r="J273" s="407"/>
    </row>
    <row r="274" spans="1:10" ht="6.75" customHeight="1">
      <c r="A274" s="496"/>
      <c r="B274" s="497"/>
      <c r="C274" s="497"/>
      <c r="D274" s="497"/>
      <c r="E274" s="497"/>
      <c r="F274" s="497"/>
      <c r="G274" s="497"/>
      <c r="H274" s="497"/>
      <c r="I274" s="497"/>
      <c r="J274" s="407"/>
    </row>
    <row r="275" spans="1:10" ht="15" customHeight="1">
      <c r="A275" s="429">
        <v>13</v>
      </c>
      <c r="B275" s="420" t="s">
        <v>1269</v>
      </c>
      <c r="C275" s="443"/>
      <c r="D275" s="443"/>
      <c r="E275" s="443"/>
      <c r="F275" s="435" t="s">
        <v>1008</v>
      </c>
      <c r="G275" s="423"/>
      <c r="H275" s="423"/>
      <c r="I275" s="424"/>
      <c r="J275" s="407"/>
    </row>
    <row r="276" spans="1:10" ht="25.5" customHeight="1">
      <c r="A276" s="429"/>
      <c r="B276" s="420" t="s">
        <v>1270</v>
      </c>
      <c r="C276" s="443" t="s">
        <v>1271</v>
      </c>
      <c r="D276" s="443"/>
      <c r="E276" s="443"/>
      <c r="F276" s="437"/>
      <c r="G276" s="429"/>
      <c r="H276" s="423"/>
      <c r="I276" s="429"/>
      <c r="J276" s="407"/>
    </row>
    <row r="277" spans="1:10" ht="15" customHeight="1">
      <c r="A277" s="429">
        <v>13.1</v>
      </c>
      <c r="B277" s="478" t="s">
        <v>1272</v>
      </c>
      <c r="C277" s="131" t="s">
        <v>1273</v>
      </c>
      <c r="D277" s="428" t="s">
        <v>4</v>
      </c>
      <c r="E277" s="498">
        <v>8</v>
      </c>
      <c r="F277" s="437"/>
      <c r="G277" s="429">
        <v>32</v>
      </c>
      <c r="H277" s="423"/>
      <c r="I277" s="429">
        <v>32</v>
      </c>
      <c r="J277" s="407"/>
    </row>
    <row r="278" spans="1:10" ht="15" customHeight="1">
      <c r="A278" s="429">
        <v>13.2</v>
      </c>
      <c r="B278" s="478" t="s">
        <v>1274</v>
      </c>
      <c r="C278" s="131" t="s">
        <v>1275</v>
      </c>
      <c r="D278" s="428" t="s">
        <v>4</v>
      </c>
      <c r="E278" s="498">
        <v>8</v>
      </c>
      <c r="F278" s="437"/>
      <c r="G278" s="429">
        <v>220</v>
      </c>
      <c r="H278" s="423"/>
      <c r="I278" s="429">
        <v>220</v>
      </c>
      <c r="J278" s="407"/>
    </row>
    <row r="279" spans="1:10" ht="15" customHeight="1">
      <c r="A279" s="429">
        <v>13.3</v>
      </c>
      <c r="B279" s="478" t="s">
        <v>1276</v>
      </c>
      <c r="C279" s="131" t="s">
        <v>1277</v>
      </c>
      <c r="D279" s="428" t="s">
        <v>4</v>
      </c>
      <c r="E279" s="498">
        <v>8</v>
      </c>
      <c r="F279" s="437"/>
      <c r="G279" s="429">
        <v>192</v>
      </c>
      <c r="H279" s="423"/>
      <c r="I279" s="429">
        <v>192</v>
      </c>
      <c r="J279" s="407"/>
    </row>
    <row r="280" spans="1:10" ht="15" customHeight="1">
      <c r="A280" s="429">
        <v>13.4</v>
      </c>
      <c r="B280" s="478" t="s">
        <v>1278</v>
      </c>
      <c r="C280" s="131" t="s">
        <v>1279</v>
      </c>
      <c r="D280" s="428" t="s">
        <v>4</v>
      </c>
      <c r="E280" s="498">
        <v>8</v>
      </c>
      <c r="F280" s="437"/>
      <c r="G280" s="429">
        <v>161</v>
      </c>
      <c r="H280" s="423"/>
      <c r="I280" s="429">
        <v>161</v>
      </c>
      <c r="J280" s="407"/>
    </row>
    <row r="281" spans="1:10" ht="15" customHeight="1">
      <c r="A281" s="429">
        <v>13.5</v>
      </c>
      <c r="B281" s="478" t="s">
        <v>1280</v>
      </c>
      <c r="C281" s="131" t="s">
        <v>1281</v>
      </c>
      <c r="D281" s="428" t="s">
        <v>4</v>
      </c>
      <c r="E281" s="498">
        <v>8</v>
      </c>
      <c r="F281" s="437"/>
      <c r="G281" s="429">
        <v>32</v>
      </c>
      <c r="H281" s="423"/>
      <c r="I281" s="429">
        <v>32</v>
      </c>
      <c r="J281" s="407"/>
    </row>
    <row r="282" spans="1:10" ht="15" customHeight="1">
      <c r="A282" s="429">
        <v>13.6</v>
      </c>
      <c r="B282" s="478" t="s">
        <v>1282</v>
      </c>
      <c r="C282" s="131" t="s">
        <v>1283</v>
      </c>
      <c r="D282" s="428" t="s">
        <v>4</v>
      </c>
      <c r="E282" s="498">
        <v>8</v>
      </c>
      <c r="F282" s="437"/>
      <c r="G282" s="429">
        <v>32</v>
      </c>
      <c r="H282" s="423"/>
      <c r="I282" s="429">
        <v>32</v>
      </c>
      <c r="J282" s="407"/>
    </row>
    <row r="283" spans="1:10" ht="15" customHeight="1">
      <c r="A283" s="429">
        <v>13.7</v>
      </c>
      <c r="B283" s="478" t="s">
        <v>1284</v>
      </c>
      <c r="C283" s="131" t="s">
        <v>1285</v>
      </c>
      <c r="D283" s="428" t="s">
        <v>4</v>
      </c>
      <c r="E283" s="498">
        <v>2</v>
      </c>
      <c r="F283" s="437"/>
      <c r="G283" s="541" t="s">
        <v>1014</v>
      </c>
      <c r="H283" s="423"/>
      <c r="I283" s="429"/>
      <c r="J283" s="407"/>
    </row>
    <row r="284" spans="1:10" ht="27" customHeight="1">
      <c r="A284" s="429"/>
      <c r="B284" s="420" t="s">
        <v>1286</v>
      </c>
      <c r="C284" s="443" t="s">
        <v>1287</v>
      </c>
      <c r="D284" s="443"/>
      <c r="E284" s="443"/>
      <c r="F284" s="437"/>
      <c r="G284" s="429"/>
      <c r="H284" s="423"/>
      <c r="I284" s="429"/>
      <c r="J284" s="407"/>
    </row>
    <row r="285" spans="1:10" ht="15" customHeight="1">
      <c r="A285" s="429">
        <v>13.8</v>
      </c>
      <c r="B285" s="478" t="s">
        <v>1288</v>
      </c>
      <c r="C285" s="131" t="s">
        <v>1289</v>
      </c>
      <c r="D285" s="428" t="s">
        <v>4</v>
      </c>
      <c r="E285" s="498">
        <v>8</v>
      </c>
      <c r="F285" s="437"/>
      <c r="G285" s="429">
        <v>32</v>
      </c>
      <c r="H285" s="423"/>
      <c r="I285" s="429">
        <v>32</v>
      </c>
      <c r="J285" s="407"/>
    </row>
    <row r="286" spans="1:10" ht="15" customHeight="1">
      <c r="A286" s="429">
        <v>13.9</v>
      </c>
      <c r="B286" s="478" t="s">
        <v>1274</v>
      </c>
      <c r="C286" s="131" t="s">
        <v>1275</v>
      </c>
      <c r="D286" s="428" t="s">
        <v>4</v>
      </c>
      <c r="E286" s="498">
        <v>8</v>
      </c>
      <c r="F286" s="437"/>
      <c r="G286" s="429"/>
      <c r="H286" s="423"/>
      <c r="I286" s="429"/>
      <c r="J286" s="407"/>
    </row>
    <row r="287" spans="1:10" ht="15" customHeight="1">
      <c r="A287" s="481">
        <v>13.1</v>
      </c>
      <c r="B287" s="478" t="s">
        <v>1276</v>
      </c>
      <c r="C287" s="131" t="s">
        <v>1277</v>
      </c>
      <c r="D287" s="428" t="s">
        <v>4</v>
      </c>
      <c r="E287" s="498">
        <v>8</v>
      </c>
      <c r="F287" s="437"/>
      <c r="G287" s="429"/>
      <c r="H287" s="423"/>
      <c r="I287" s="429"/>
      <c r="J287" s="407"/>
    </row>
    <row r="288" spans="1:10" ht="15" customHeight="1">
      <c r="A288" s="429">
        <v>13.11</v>
      </c>
      <c r="B288" s="478" t="s">
        <v>1290</v>
      </c>
      <c r="C288" s="131" t="s">
        <v>1291</v>
      </c>
      <c r="D288" s="428" t="s">
        <v>4</v>
      </c>
      <c r="E288" s="498">
        <v>8</v>
      </c>
      <c r="F288" s="437"/>
      <c r="G288" s="429">
        <v>32</v>
      </c>
      <c r="H288" s="423"/>
      <c r="I288" s="429">
        <v>32</v>
      </c>
      <c r="J288" s="407"/>
    </row>
    <row r="289" spans="1:10" ht="15" customHeight="1">
      <c r="A289" s="481">
        <v>13.12</v>
      </c>
      <c r="B289" s="478" t="s">
        <v>1284</v>
      </c>
      <c r="C289" s="131" t="s">
        <v>1285</v>
      </c>
      <c r="D289" s="428" t="s">
        <v>4</v>
      </c>
      <c r="E289" s="498">
        <v>2</v>
      </c>
      <c r="F289" s="437"/>
      <c r="G289" s="429">
        <v>32</v>
      </c>
      <c r="H289" s="423"/>
      <c r="I289" s="429">
        <v>32</v>
      </c>
      <c r="J289" s="407"/>
    </row>
    <row r="290" spans="1:10" ht="15" customHeight="1">
      <c r="A290" s="429">
        <v>13.13</v>
      </c>
      <c r="B290" s="478" t="s">
        <v>1292</v>
      </c>
      <c r="C290" s="131" t="s">
        <v>1293</v>
      </c>
      <c r="D290" s="428" t="s">
        <v>4</v>
      </c>
      <c r="E290" s="498">
        <v>2</v>
      </c>
      <c r="F290" s="437"/>
      <c r="G290" s="541" t="s">
        <v>1014</v>
      </c>
      <c r="H290" s="423"/>
      <c r="I290" s="429">
        <v>0</v>
      </c>
      <c r="J290" s="407"/>
    </row>
    <row r="291" spans="1:10" ht="15" customHeight="1">
      <c r="A291" s="481">
        <v>13.14</v>
      </c>
      <c r="B291" s="478" t="s">
        <v>1294</v>
      </c>
      <c r="C291" s="131" t="s">
        <v>1295</v>
      </c>
      <c r="D291" s="428" t="s">
        <v>4</v>
      </c>
      <c r="E291" s="498">
        <v>1</v>
      </c>
      <c r="F291" s="437"/>
      <c r="G291" s="541" t="s">
        <v>1014</v>
      </c>
      <c r="H291" s="423"/>
      <c r="I291" s="429">
        <v>0</v>
      </c>
      <c r="J291" s="407"/>
    </row>
    <row r="292" spans="1:10" ht="15" customHeight="1">
      <c r="A292" s="429">
        <v>13.15</v>
      </c>
      <c r="B292" s="478" t="s">
        <v>1296</v>
      </c>
      <c r="C292" s="131" t="s">
        <v>1297</v>
      </c>
      <c r="D292" s="428" t="s">
        <v>4</v>
      </c>
      <c r="E292" s="498">
        <v>1</v>
      </c>
      <c r="F292" s="437"/>
      <c r="G292" s="541" t="s">
        <v>1014</v>
      </c>
      <c r="H292" s="423"/>
      <c r="I292" s="429">
        <v>0</v>
      </c>
      <c r="J292" s="407"/>
    </row>
    <row r="293" spans="1:10" ht="15" customHeight="1">
      <c r="A293" s="429"/>
      <c r="B293" s="420" t="s">
        <v>1298</v>
      </c>
      <c r="C293" s="443" t="s">
        <v>1299</v>
      </c>
      <c r="D293" s="443"/>
      <c r="E293" s="443"/>
      <c r="F293" s="437"/>
      <c r="G293" s="429"/>
      <c r="H293" s="423"/>
      <c r="I293" s="429"/>
      <c r="J293" s="407"/>
    </row>
    <row r="294" spans="1:10" ht="15" customHeight="1">
      <c r="A294" s="481">
        <v>13.16</v>
      </c>
      <c r="B294" s="478" t="s">
        <v>1300</v>
      </c>
      <c r="C294" s="131" t="s">
        <v>1301</v>
      </c>
      <c r="D294" s="428" t="s">
        <v>4</v>
      </c>
      <c r="E294" s="498">
        <v>8</v>
      </c>
      <c r="F294" s="437"/>
      <c r="G294" s="541" t="s">
        <v>1014</v>
      </c>
      <c r="H294" s="423"/>
      <c r="I294" s="429">
        <v>0</v>
      </c>
      <c r="J294" s="407"/>
    </row>
    <row r="295" spans="1:10" ht="15" customHeight="1">
      <c r="A295" s="429">
        <v>13.17</v>
      </c>
      <c r="B295" s="478" t="s">
        <v>1274</v>
      </c>
      <c r="C295" s="131" t="s">
        <v>1275</v>
      </c>
      <c r="D295" s="428" t="s">
        <v>4</v>
      </c>
      <c r="E295" s="498">
        <v>8</v>
      </c>
      <c r="F295" s="437"/>
      <c r="G295" s="545"/>
      <c r="H295" s="423"/>
      <c r="I295" s="429"/>
      <c r="J295" s="407"/>
    </row>
    <row r="296" spans="1:10" ht="15" customHeight="1">
      <c r="A296" s="481">
        <v>13.18</v>
      </c>
      <c r="B296" s="478" t="s">
        <v>1276</v>
      </c>
      <c r="C296" s="131" t="s">
        <v>1277</v>
      </c>
      <c r="D296" s="428" t="s">
        <v>4</v>
      </c>
      <c r="E296" s="498">
        <v>8</v>
      </c>
      <c r="F296" s="439"/>
      <c r="G296" s="545"/>
      <c r="H296" s="423"/>
      <c r="I296" s="429"/>
      <c r="J296" s="407"/>
    </row>
    <row r="297" spans="1:10" ht="15" customHeight="1">
      <c r="A297" s="429">
        <v>13.19</v>
      </c>
      <c r="B297" s="478" t="s">
        <v>1278</v>
      </c>
      <c r="C297" s="131" t="s">
        <v>1279</v>
      </c>
      <c r="D297" s="428" t="s">
        <v>4</v>
      </c>
      <c r="E297" s="498">
        <v>8</v>
      </c>
      <c r="F297" s="499" t="s">
        <v>1008</v>
      </c>
      <c r="G297" s="545"/>
      <c r="H297" s="423"/>
      <c r="I297" s="429"/>
      <c r="J297" s="407"/>
    </row>
    <row r="298" spans="1:10" ht="15" customHeight="1">
      <c r="A298" s="481">
        <v>13.2</v>
      </c>
      <c r="B298" s="478" t="s">
        <v>1292</v>
      </c>
      <c r="C298" s="131" t="s">
        <v>1293</v>
      </c>
      <c r="D298" s="428" t="s">
        <v>4</v>
      </c>
      <c r="E298" s="498">
        <v>2</v>
      </c>
      <c r="F298" s="480"/>
      <c r="G298" s="541" t="s">
        <v>1014</v>
      </c>
      <c r="H298" s="423"/>
      <c r="I298" s="429">
        <v>0</v>
      </c>
      <c r="J298" s="407"/>
    </row>
    <row r="299" spans="1:10" ht="15" customHeight="1">
      <c r="A299" s="429">
        <v>13.21</v>
      </c>
      <c r="B299" s="478" t="s">
        <v>1302</v>
      </c>
      <c r="C299" s="131" t="s">
        <v>1303</v>
      </c>
      <c r="D299" s="428" t="s">
        <v>4</v>
      </c>
      <c r="E299" s="498">
        <v>1</v>
      </c>
      <c r="F299" s="480"/>
      <c r="G299" s="541" t="s">
        <v>1014</v>
      </c>
      <c r="H299" s="423"/>
      <c r="I299" s="429">
        <v>0</v>
      </c>
      <c r="J299" s="407"/>
    </row>
    <row r="300" spans="1:10" ht="15" customHeight="1">
      <c r="A300" s="429"/>
      <c r="B300" s="420" t="s">
        <v>1304</v>
      </c>
      <c r="C300" s="131" t="s">
        <v>1305</v>
      </c>
      <c r="D300" s="443"/>
      <c r="E300" s="443"/>
      <c r="F300" s="480"/>
      <c r="G300" s="429"/>
      <c r="H300" s="423"/>
      <c r="I300" s="429"/>
      <c r="J300" s="407"/>
    </row>
    <row r="301" spans="1:10" ht="15" customHeight="1">
      <c r="A301" s="481">
        <v>13.22</v>
      </c>
      <c r="B301" s="478" t="s">
        <v>1300</v>
      </c>
      <c r="C301" s="131" t="s">
        <v>1301</v>
      </c>
      <c r="D301" s="428" t="s">
        <v>4</v>
      </c>
      <c r="E301" s="498">
        <v>8</v>
      </c>
      <c r="F301" s="480"/>
      <c r="G301" s="541" t="s">
        <v>1014</v>
      </c>
      <c r="H301" s="423"/>
      <c r="I301" s="429">
        <v>0</v>
      </c>
      <c r="J301" s="407"/>
    </row>
    <row r="302" spans="1:10" ht="15" customHeight="1">
      <c r="A302" s="429">
        <v>13.23</v>
      </c>
      <c r="B302" s="478" t="s">
        <v>1274</v>
      </c>
      <c r="C302" s="421" t="s">
        <v>1275</v>
      </c>
      <c r="D302" s="428" t="s">
        <v>4</v>
      </c>
      <c r="E302" s="498">
        <v>8</v>
      </c>
      <c r="F302" s="480"/>
      <c r="G302" s="545"/>
      <c r="H302" s="423"/>
      <c r="I302" s="429"/>
      <c r="J302" s="407"/>
    </row>
    <row r="303" spans="1:10" ht="15" customHeight="1">
      <c r="A303" s="481">
        <v>13.24</v>
      </c>
      <c r="B303" s="478" t="s">
        <v>1276</v>
      </c>
      <c r="C303" s="131" t="s">
        <v>1277</v>
      </c>
      <c r="D303" s="428" t="s">
        <v>4</v>
      </c>
      <c r="E303" s="498">
        <v>8</v>
      </c>
      <c r="F303" s="480"/>
      <c r="G303" s="545"/>
      <c r="H303" s="423"/>
      <c r="I303" s="429"/>
      <c r="J303" s="407"/>
    </row>
    <row r="304" spans="1:10" ht="15" customHeight="1">
      <c r="A304" s="429">
        <v>13.25</v>
      </c>
      <c r="B304" s="478" t="s">
        <v>1278</v>
      </c>
      <c r="C304" s="131" t="s">
        <v>1279</v>
      </c>
      <c r="D304" s="428" t="s">
        <v>4</v>
      </c>
      <c r="E304" s="498">
        <v>8</v>
      </c>
      <c r="F304" s="480"/>
      <c r="G304" s="545"/>
      <c r="H304" s="423"/>
      <c r="I304" s="429"/>
      <c r="J304" s="407"/>
    </row>
    <row r="305" spans="1:10" ht="15" customHeight="1">
      <c r="A305" s="481">
        <v>13.26</v>
      </c>
      <c r="B305" s="478" t="s">
        <v>1292</v>
      </c>
      <c r="C305" s="131" t="s">
        <v>1293</v>
      </c>
      <c r="D305" s="428" t="s">
        <v>4</v>
      </c>
      <c r="E305" s="498">
        <v>2</v>
      </c>
      <c r="F305" s="480"/>
      <c r="G305" s="541" t="s">
        <v>1014</v>
      </c>
      <c r="H305" s="423"/>
      <c r="I305" s="429">
        <v>0</v>
      </c>
      <c r="J305" s="407"/>
    </row>
    <row r="306" spans="1:10" ht="15" customHeight="1">
      <c r="A306" s="429">
        <v>13.27</v>
      </c>
      <c r="B306" s="478" t="s">
        <v>1302</v>
      </c>
      <c r="C306" s="131" t="s">
        <v>1306</v>
      </c>
      <c r="D306" s="428" t="s">
        <v>4</v>
      </c>
      <c r="E306" s="498">
        <v>1</v>
      </c>
      <c r="F306" s="482"/>
      <c r="G306" s="541" t="s">
        <v>1014</v>
      </c>
      <c r="H306" s="423"/>
      <c r="I306" s="429">
        <v>0</v>
      </c>
      <c r="J306" s="407"/>
    </row>
    <row r="307" spans="1:10" ht="6.75" customHeight="1">
      <c r="A307" s="500"/>
      <c r="B307" s="501"/>
      <c r="C307" s="501"/>
      <c r="D307" s="501"/>
      <c r="E307" s="501"/>
      <c r="F307" s="501"/>
      <c r="G307" s="501"/>
      <c r="H307" s="501"/>
      <c r="I307" s="501"/>
      <c r="J307" s="407"/>
    </row>
    <row r="308" spans="1:10">
      <c r="A308" s="419">
        <v>14</v>
      </c>
      <c r="B308" s="491" t="s">
        <v>1307</v>
      </c>
      <c r="C308" s="492"/>
      <c r="D308" s="492"/>
      <c r="E308" s="492"/>
      <c r="F308" s="493"/>
      <c r="G308" s="423"/>
      <c r="H308" s="423"/>
      <c r="I308" s="424"/>
      <c r="J308" s="407"/>
    </row>
    <row r="309" spans="1:10" ht="13.5" customHeight="1">
      <c r="A309" s="428">
        <v>14.1</v>
      </c>
      <c r="B309" s="502" t="s">
        <v>1308</v>
      </c>
      <c r="C309" s="503" t="s">
        <v>1309</v>
      </c>
      <c r="D309" s="487" t="s">
        <v>4</v>
      </c>
      <c r="E309" s="488">
        <v>1</v>
      </c>
      <c r="F309" s="499" t="s">
        <v>1310</v>
      </c>
      <c r="G309" s="542" t="s">
        <v>1311</v>
      </c>
      <c r="H309" s="423"/>
      <c r="I309" s="430">
        <v>0</v>
      </c>
      <c r="J309" s="407"/>
    </row>
    <row r="310" spans="1:10">
      <c r="A310" s="428" t="s">
        <v>1312</v>
      </c>
      <c r="B310" s="423" t="s">
        <v>1313</v>
      </c>
      <c r="C310" s="429" t="s">
        <v>1314</v>
      </c>
      <c r="D310" s="487" t="s">
        <v>4</v>
      </c>
      <c r="E310" s="429">
        <v>3</v>
      </c>
      <c r="F310" s="480"/>
      <c r="G310" s="543"/>
      <c r="H310" s="423"/>
      <c r="I310" s="430">
        <v>0</v>
      </c>
      <c r="J310" s="407"/>
    </row>
    <row r="311" spans="1:10">
      <c r="A311" s="428">
        <v>14.3</v>
      </c>
      <c r="B311" s="423" t="s">
        <v>1315</v>
      </c>
      <c r="C311" s="429" t="s">
        <v>1316</v>
      </c>
      <c r="D311" s="487" t="s">
        <v>4</v>
      </c>
      <c r="E311" s="429">
        <v>10</v>
      </c>
      <c r="F311" s="482"/>
      <c r="G311" s="544"/>
      <c r="H311" s="423"/>
      <c r="I311" s="430">
        <v>0</v>
      </c>
      <c r="J311" s="407"/>
    </row>
    <row r="312" spans="1:10" ht="14.25" customHeight="1">
      <c r="A312" s="431"/>
      <c r="B312" s="432"/>
      <c r="C312" s="432"/>
      <c r="D312" s="432"/>
      <c r="E312" s="432"/>
      <c r="F312" s="432"/>
      <c r="G312" s="432"/>
      <c r="H312" s="432"/>
      <c r="I312" s="432"/>
      <c r="J312" s="407"/>
    </row>
    <row r="313" spans="1:10" ht="15" customHeight="1">
      <c r="A313" s="504">
        <v>15</v>
      </c>
      <c r="B313" s="420" t="s">
        <v>1317</v>
      </c>
      <c r="C313" s="443"/>
      <c r="D313" s="443"/>
      <c r="E313" s="443"/>
      <c r="F313" s="435" t="s">
        <v>1318</v>
      </c>
      <c r="G313" s="424"/>
      <c r="H313" s="505"/>
      <c r="I313" s="505"/>
      <c r="J313" s="407"/>
    </row>
    <row r="314" spans="1:10" ht="13.5" customHeight="1">
      <c r="A314" s="429"/>
      <c r="B314" s="420" t="s">
        <v>1319</v>
      </c>
      <c r="C314" s="443"/>
      <c r="D314" s="443"/>
      <c r="E314" s="443"/>
      <c r="F314" s="437"/>
      <c r="G314" s="424"/>
      <c r="H314" s="505"/>
      <c r="I314" s="505"/>
      <c r="J314" s="407"/>
    </row>
    <row r="315" spans="1:10" ht="15" customHeight="1">
      <c r="A315" s="429">
        <v>15.1</v>
      </c>
      <c r="B315" s="478" t="s">
        <v>1320</v>
      </c>
      <c r="C315" s="131" t="s">
        <v>31</v>
      </c>
      <c r="D315" s="428" t="s">
        <v>4</v>
      </c>
      <c r="E315" s="498">
        <v>2</v>
      </c>
      <c r="F315" s="437"/>
      <c r="G315" s="429">
        <v>2</v>
      </c>
      <c r="H315" s="456"/>
      <c r="I315" s="429">
        <v>2</v>
      </c>
      <c r="J315" s="407"/>
    </row>
    <row r="316" spans="1:10" ht="15" customHeight="1">
      <c r="A316" s="429">
        <v>15.2</v>
      </c>
      <c r="B316" s="478" t="s">
        <v>1321</v>
      </c>
      <c r="C316" s="131" t="s">
        <v>30</v>
      </c>
      <c r="D316" s="428" t="s">
        <v>4</v>
      </c>
      <c r="E316" s="498">
        <v>2</v>
      </c>
      <c r="F316" s="437"/>
      <c r="G316" s="429">
        <v>2</v>
      </c>
      <c r="H316" s="456"/>
      <c r="I316" s="429">
        <v>2</v>
      </c>
      <c r="J316" s="407"/>
    </row>
    <row r="317" spans="1:10" ht="15" customHeight="1">
      <c r="A317" s="429">
        <v>15.3</v>
      </c>
      <c r="B317" s="478" t="s">
        <v>1322</v>
      </c>
      <c r="C317" s="131" t="s">
        <v>1323</v>
      </c>
      <c r="D317" s="428" t="s">
        <v>4</v>
      </c>
      <c r="E317" s="498">
        <v>2</v>
      </c>
      <c r="F317" s="437"/>
      <c r="G317" s="429">
        <v>8</v>
      </c>
      <c r="H317" s="456"/>
      <c r="I317" s="429">
        <v>8</v>
      </c>
      <c r="J317" s="407"/>
    </row>
    <row r="318" spans="1:10" ht="15" customHeight="1">
      <c r="A318" s="429">
        <v>15.4</v>
      </c>
      <c r="B318" s="478" t="s">
        <v>1324</v>
      </c>
      <c r="C318" s="131" t="s">
        <v>1325</v>
      </c>
      <c r="D318" s="428" t="s">
        <v>4</v>
      </c>
      <c r="E318" s="498">
        <v>2</v>
      </c>
      <c r="F318" s="437"/>
      <c r="G318" s="429">
        <v>2</v>
      </c>
      <c r="H318" s="456"/>
      <c r="I318" s="429">
        <v>2</v>
      </c>
      <c r="J318" s="407"/>
    </row>
    <row r="319" spans="1:10" ht="15" customHeight="1">
      <c r="A319" s="429">
        <v>15.5</v>
      </c>
      <c r="B319" s="478" t="s">
        <v>1326</v>
      </c>
      <c r="C319" s="131" t="s">
        <v>1327</v>
      </c>
      <c r="D319" s="428" t="s">
        <v>4</v>
      </c>
      <c r="E319" s="498">
        <v>4</v>
      </c>
      <c r="F319" s="437"/>
      <c r="G319" s="429">
        <v>4</v>
      </c>
      <c r="H319" s="456"/>
      <c r="I319" s="429">
        <v>4</v>
      </c>
      <c r="J319" s="407"/>
    </row>
    <row r="320" spans="1:10" s="414" customFormat="1" ht="29.25" customHeight="1">
      <c r="A320" s="488">
        <v>15.6</v>
      </c>
      <c r="B320" s="478" t="s">
        <v>1328</v>
      </c>
      <c r="C320" s="131" t="s">
        <v>1329</v>
      </c>
      <c r="D320" s="487" t="s">
        <v>4</v>
      </c>
      <c r="E320" s="471">
        <v>4</v>
      </c>
      <c r="F320" s="437"/>
      <c r="G320" s="488">
        <v>4</v>
      </c>
      <c r="H320" s="506"/>
      <c r="I320" s="488">
        <v>4</v>
      </c>
      <c r="J320" s="507"/>
    </row>
    <row r="321" spans="1:10" ht="15" customHeight="1">
      <c r="A321" s="429"/>
      <c r="B321" s="420" t="s">
        <v>1330</v>
      </c>
      <c r="C321" s="443"/>
      <c r="D321" s="443"/>
      <c r="E321" s="443"/>
      <c r="F321" s="437"/>
      <c r="G321" s="429"/>
      <c r="H321" s="505"/>
      <c r="I321" s="505"/>
      <c r="J321" s="407"/>
    </row>
    <row r="322" spans="1:10" ht="15" customHeight="1">
      <c r="A322" s="429">
        <v>15.7</v>
      </c>
      <c r="B322" s="478" t="s">
        <v>1331</v>
      </c>
      <c r="C322" s="131" t="s">
        <v>32</v>
      </c>
      <c r="D322" s="428" t="s">
        <v>4</v>
      </c>
      <c r="E322" s="498">
        <v>1</v>
      </c>
      <c r="F322" s="437"/>
      <c r="G322" s="429">
        <v>1</v>
      </c>
      <c r="H322" s="456"/>
      <c r="I322" s="429">
        <v>1</v>
      </c>
      <c r="J322" s="407"/>
    </row>
    <row r="323" spans="1:10" ht="15" customHeight="1">
      <c r="A323" s="429"/>
      <c r="B323" s="420" t="s">
        <v>1332</v>
      </c>
      <c r="C323" s="443"/>
      <c r="D323" s="443"/>
      <c r="E323" s="443"/>
      <c r="F323" s="437"/>
      <c r="G323" s="500"/>
      <c r="H323" s="501"/>
      <c r="I323" s="501"/>
      <c r="J323" s="508"/>
    </row>
    <row r="324" spans="1:10" ht="15" customHeight="1">
      <c r="A324" s="509">
        <v>15.8</v>
      </c>
      <c r="B324" s="478" t="s">
        <v>1333</v>
      </c>
      <c r="C324" s="131" t="s">
        <v>1334</v>
      </c>
      <c r="D324" s="428" t="s">
        <v>4</v>
      </c>
      <c r="E324" s="498">
        <v>5</v>
      </c>
      <c r="F324" s="437"/>
      <c r="G324" s="429">
        <v>5</v>
      </c>
      <c r="H324" s="456"/>
      <c r="I324" s="429">
        <v>5</v>
      </c>
      <c r="J324" s="407"/>
    </row>
    <row r="325" spans="1:10" ht="15" customHeight="1">
      <c r="A325" s="429">
        <v>15.936223506743699</v>
      </c>
      <c r="B325" s="478" t="s">
        <v>1320</v>
      </c>
      <c r="C325" s="131" t="s">
        <v>31</v>
      </c>
      <c r="D325" s="428" t="s">
        <v>4</v>
      </c>
      <c r="E325" s="498">
        <v>5</v>
      </c>
      <c r="F325" s="437"/>
      <c r="G325" s="429">
        <v>5</v>
      </c>
      <c r="H325" s="456"/>
      <c r="I325" s="429">
        <v>5</v>
      </c>
      <c r="J325" s="407"/>
    </row>
    <row r="326" spans="1:10" ht="15" customHeight="1">
      <c r="A326" s="429">
        <v>16.015606936416201</v>
      </c>
      <c r="B326" s="478" t="s">
        <v>1321</v>
      </c>
      <c r="C326" s="131" t="s">
        <v>30</v>
      </c>
      <c r="D326" s="428" t="s">
        <v>4</v>
      </c>
      <c r="E326" s="498">
        <v>5</v>
      </c>
      <c r="F326" s="437"/>
      <c r="G326" s="429">
        <v>5</v>
      </c>
      <c r="H326" s="456"/>
      <c r="I326" s="429">
        <v>5</v>
      </c>
      <c r="J326" s="407"/>
    </row>
    <row r="327" spans="1:10" ht="15" customHeight="1">
      <c r="A327" s="429">
        <v>16.094990366088599</v>
      </c>
      <c r="B327" s="478" t="s">
        <v>1335</v>
      </c>
      <c r="C327" s="131" t="s">
        <v>1336</v>
      </c>
      <c r="D327" s="428" t="s">
        <v>4</v>
      </c>
      <c r="E327" s="498">
        <v>2</v>
      </c>
      <c r="F327" s="437"/>
      <c r="G327" s="541" t="s">
        <v>1014</v>
      </c>
      <c r="H327" s="456"/>
      <c r="I327" s="429">
        <v>0</v>
      </c>
      <c r="J327" s="407"/>
    </row>
    <row r="328" spans="1:10" ht="15" customHeight="1">
      <c r="A328" s="429">
        <v>16.174373795761099</v>
      </c>
      <c r="B328" s="478" t="s">
        <v>1324</v>
      </c>
      <c r="C328" s="131" t="s">
        <v>1325</v>
      </c>
      <c r="D328" s="428" t="s">
        <v>4</v>
      </c>
      <c r="E328" s="498">
        <v>1</v>
      </c>
      <c r="F328" s="437"/>
      <c r="G328" s="541" t="s">
        <v>1014</v>
      </c>
      <c r="H328" s="456"/>
      <c r="I328" s="429">
        <v>0</v>
      </c>
      <c r="J328" s="407"/>
    </row>
    <row r="329" spans="1:10" ht="15" customHeight="1">
      <c r="A329" s="429">
        <v>16.2537572254335</v>
      </c>
      <c r="B329" s="478" t="s">
        <v>1326</v>
      </c>
      <c r="C329" s="131" t="s">
        <v>1327</v>
      </c>
      <c r="D329" s="428" t="s">
        <v>4</v>
      </c>
      <c r="E329" s="498">
        <v>38</v>
      </c>
      <c r="F329" s="437"/>
      <c r="G329" s="541" t="s">
        <v>1014</v>
      </c>
      <c r="H329" s="456"/>
      <c r="I329" s="429">
        <v>0</v>
      </c>
      <c r="J329" s="407"/>
    </row>
    <row r="330" spans="1:10" ht="30.75" customHeight="1">
      <c r="A330" s="429">
        <v>16.333140655106</v>
      </c>
      <c r="B330" s="478" t="s">
        <v>1328</v>
      </c>
      <c r="C330" s="131" t="s">
        <v>1337</v>
      </c>
      <c r="D330" s="428" t="s">
        <v>4</v>
      </c>
      <c r="E330" s="498">
        <v>1</v>
      </c>
      <c r="F330" s="437"/>
      <c r="G330" s="541" t="s">
        <v>1014</v>
      </c>
      <c r="H330" s="456"/>
      <c r="I330" s="429">
        <v>0</v>
      </c>
      <c r="J330" s="407"/>
    </row>
    <row r="331" spans="1:10" ht="15" customHeight="1">
      <c r="A331" s="429">
        <v>16.412524084778401</v>
      </c>
      <c r="B331" s="420" t="s">
        <v>1330</v>
      </c>
      <c r="C331" s="443"/>
      <c r="D331" s="428" t="s">
        <v>4</v>
      </c>
      <c r="E331" s="498">
        <v>38</v>
      </c>
      <c r="F331" s="437"/>
      <c r="G331" s="541" t="s">
        <v>1014</v>
      </c>
      <c r="H331" s="456"/>
      <c r="I331" s="424"/>
      <c r="J331" s="407" t="s">
        <v>1338</v>
      </c>
    </row>
    <row r="332" spans="1:10" ht="15" customHeight="1">
      <c r="A332" s="429">
        <v>16.491907514450901</v>
      </c>
      <c r="B332" s="478" t="s">
        <v>1331</v>
      </c>
      <c r="C332" s="131" t="s">
        <v>32</v>
      </c>
      <c r="D332" s="443"/>
      <c r="E332" s="443"/>
      <c r="F332" s="437"/>
      <c r="G332" s="429">
        <v>1</v>
      </c>
      <c r="H332" s="505"/>
      <c r="I332" s="510">
        <v>1</v>
      </c>
      <c r="J332" s="407" t="s">
        <v>1339</v>
      </c>
    </row>
    <row r="333" spans="1:10" ht="15" customHeight="1">
      <c r="A333" s="429">
        <v>16.571290944123302</v>
      </c>
      <c r="B333" s="420" t="s">
        <v>1332</v>
      </c>
      <c r="C333" s="443"/>
      <c r="D333" s="428" t="s">
        <v>4</v>
      </c>
      <c r="E333" s="498">
        <v>2</v>
      </c>
      <c r="F333" s="437"/>
      <c r="G333" s="429"/>
      <c r="H333" s="456"/>
      <c r="I333" s="430"/>
      <c r="J333" s="407" t="s">
        <v>1338</v>
      </c>
    </row>
    <row r="334" spans="1:10" ht="15" customHeight="1">
      <c r="A334" s="509">
        <v>16.650674373795798</v>
      </c>
      <c r="B334" s="478" t="s">
        <v>1340</v>
      </c>
      <c r="C334" s="131" t="s">
        <v>1341</v>
      </c>
      <c r="D334" s="428" t="s">
        <v>4</v>
      </c>
      <c r="E334" s="498">
        <v>2</v>
      </c>
      <c r="F334" s="437"/>
      <c r="G334" s="429">
        <v>5</v>
      </c>
      <c r="H334" s="456"/>
      <c r="I334" s="430">
        <v>5</v>
      </c>
      <c r="J334" s="407"/>
    </row>
    <row r="335" spans="1:10" ht="15" customHeight="1">
      <c r="A335" s="429">
        <v>16.730057803468199</v>
      </c>
      <c r="B335" s="478" t="s">
        <v>1320</v>
      </c>
      <c r="C335" s="131" t="s">
        <v>31</v>
      </c>
      <c r="D335" s="428" t="s">
        <v>4</v>
      </c>
      <c r="E335" s="498">
        <v>2</v>
      </c>
      <c r="F335" s="437"/>
      <c r="G335" s="541" t="s">
        <v>1014</v>
      </c>
      <c r="H335" s="456"/>
      <c r="I335" s="430">
        <v>0</v>
      </c>
      <c r="J335" s="407"/>
    </row>
    <row r="336" spans="1:10" ht="15" customHeight="1">
      <c r="A336" s="429">
        <v>16.809441233140699</v>
      </c>
      <c r="B336" s="478" t="s">
        <v>1321</v>
      </c>
      <c r="C336" s="131" t="s">
        <v>30</v>
      </c>
      <c r="D336" s="428" t="s">
        <v>4</v>
      </c>
      <c r="E336" s="498">
        <v>50</v>
      </c>
      <c r="F336" s="437"/>
      <c r="G336" s="541" t="s">
        <v>1014</v>
      </c>
      <c r="H336" s="456"/>
      <c r="I336" s="430">
        <v>0</v>
      </c>
      <c r="J336" s="407"/>
    </row>
    <row r="337" spans="1:10" ht="13.5" customHeight="1">
      <c r="A337" s="429">
        <v>16.8888246628131</v>
      </c>
      <c r="B337" s="478" t="s">
        <v>1342</v>
      </c>
      <c r="C337" s="131" t="s">
        <v>1343</v>
      </c>
      <c r="D337" s="443"/>
      <c r="E337" s="443"/>
      <c r="F337" s="437"/>
      <c r="G337" s="541" t="s">
        <v>1014</v>
      </c>
      <c r="H337" s="505"/>
      <c r="I337" s="510">
        <v>0</v>
      </c>
      <c r="J337" s="407"/>
    </row>
    <row r="338" spans="1:10" ht="15" customHeight="1">
      <c r="A338" s="429">
        <v>16.968208092485501</v>
      </c>
      <c r="B338" s="478" t="s">
        <v>1324</v>
      </c>
      <c r="C338" s="131" t="s">
        <v>1325</v>
      </c>
      <c r="D338" s="428" t="s">
        <v>4</v>
      </c>
      <c r="E338" s="498">
        <v>2</v>
      </c>
      <c r="F338" s="437"/>
      <c r="G338" s="541" t="s">
        <v>1014</v>
      </c>
      <c r="H338" s="456"/>
      <c r="I338" s="430">
        <v>0</v>
      </c>
      <c r="J338" s="407"/>
    </row>
    <row r="339" spans="1:10" ht="15" customHeight="1">
      <c r="A339" s="429">
        <v>17.047591522158001</v>
      </c>
      <c r="B339" s="478" t="s">
        <v>1326</v>
      </c>
      <c r="C339" s="131" t="s">
        <v>1327</v>
      </c>
      <c r="D339" s="428" t="s">
        <v>4</v>
      </c>
      <c r="E339" s="498">
        <v>100</v>
      </c>
      <c r="F339" s="437"/>
      <c r="G339" s="541" t="s">
        <v>1014</v>
      </c>
      <c r="H339" s="456"/>
      <c r="I339" s="430">
        <v>0</v>
      </c>
      <c r="J339" s="407"/>
    </row>
    <row r="340" spans="1:10" s="414" customFormat="1" ht="25.5" customHeight="1">
      <c r="A340" s="488">
        <v>17.126974951830402</v>
      </c>
      <c r="B340" s="478" t="s">
        <v>1328</v>
      </c>
      <c r="C340" s="131" t="s">
        <v>1344</v>
      </c>
      <c r="D340" s="487" t="s">
        <v>4</v>
      </c>
      <c r="E340" s="471">
        <v>4</v>
      </c>
      <c r="F340" s="437"/>
      <c r="G340" s="540" t="s">
        <v>1014</v>
      </c>
      <c r="H340" s="506"/>
      <c r="I340" s="511">
        <v>0</v>
      </c>
      <c r="J340" s="507"/>
    </row>
    <row r="341" spans="1:10" ht="15" customHeight="1">
      <c r="A341" s="429">
        <v>17.206358381502898</v>
      </c>
      <c r="B341" s="420" t="s">
        <v>1330</v>
      </c>
      <c r="C341" s="443"/>
      <c r="D341" s="428" t="s">
        <v>4</v>
      </c>
      <c r="E341" s="498">
        <v>72</v>
      </c>
      <c r="F341" s="437"/>
      <c r="G341" s="541" t="s">
        <v>1014</v>
      </c>
      <c r="H341" s="456"/>
      <c r="I341" s="430">
        <v>0</v>
      </c>
      <c r="J341" s="407" t="s">
        <v>1338</v>
      </c>
    </row>
    <row r="342" spans="1:10" ht="15" customHeight="1">
      <c r="A342" s="429">
        <v>17.285741811175299</v>
      </c>
      <c r="B342" s="478" t="s">
        <v>1331</v>
      </c>
      <c r="C342" s="131" t="s">
        <v>32</v>
      </c>
      <c r="D342" s="428" t="s">
        <v>4</v>
      </c>
      <c r="E342" s="498">
        <v>4</v>
      </c>
      <c r="F342" s="437"/>
      <c r="G342" s="541" t="s">
        <v>1014</v>
      </c>
      <c r="H342" s="456"/>
      <c r="I342" s="430">
        <v>0</v>
      </c>
      <c r="J342" s="407"/>
    </row>
    <row r="343" spans="1:10" ht="15" customHeight="1">
      <c r="A343" s="429">
        <v>17.365125240847799</v>
      </c>
      <c r="B343" s="420" t="s">
        <v>1332</v>
      </c>
      <c r="C343" s="443"/>
      <c r="D343" s="428" t="s">
        <v>4</v>
      </c>
      <c r="E343" s="498">
        <v>72</v>
      </c>
      <c r="F343" s="437"/>
      <c r="G343" s="541" t="s">
        <v>1014</v>
      </c>
      <c r="H343" s="456"/>
      <c r="I343" s="430">
        <v>0</v>
      </c>
      <c r="J343" s="407" t="s">
        <v>1338</v>
      </c>
    </row>
    <row r="344" spans="1:10" ht="15" customHeight="1">
      <c r="A344" s="509">
        <v>17.4445086705202</v>
      </c>
      <c r="B344" s="478" t="s">
        <v>1345</v>
      </c>
      <c r="C344" s="131" t="s">
        <v>1346</v>
      </c>
      <c r="D344" s="443"/>
      <c r="E344" s="443"/>
      <c r="F344" s="437"/>
      <c r="G344" s="429">
        <v>5</v>
      </c>
      <c r="H344" s="505"/>
      <c r="I344" s="510">
        <v>5</v>
      </c>
      <c r="J344" s="407" t="s">
        <v>1339</v>
      </c>
    </row>
    <row r="345" spans="1:10" ht="15" customHeight="1">
      <c r="A345" s="429">
        <v>17.5238921001927</v>
      </c>
      <c r="B345" s="478" t="s">
        <v>1320</v>
      </c>
      <c r="C345" s="131" t="s">
        <v>31</v>
      </c>
      <c r="D345" s="428" t="s">
        <v>4</v>
      </c>
      <c r="E345" s="498">
        <v>6</v>
      </c>
      <c r="F345" s="437"/>
      <c r="G345" s="541" t="s">
        <v>1014</v>
      </c>
      <c r="H345" s="456"/>
      <c r="I345" s="430">
        <v>0</v>
      </c>
      <c r="J345" s="407"/>
    </row>
    <row r="346" spans="1:10" ht="15" customHeight="1">
      <c r="A346" s="429">
        <v>17.603275529865101</v>
      </c>
      <c r="B346" s="478" t="s">
        <v>1321</v>
      </c>
      <c r="C346" s="131" t="s">
        <v>30</v>
      </c>
      <c r="D346" s="428" t="s">
        <v>4</v>
      </c>
      <c r="E346" s="498">
        <v>12</v>
      </c>
      <c r="F346" s="437"/>
      <c r="G346" s="541" t="s">
        <v>1014</v>
      </c>
      <c r="H346" s="456"/>
      <c r="I346" s="430">
        <v>0</v>
      </c>
      <c r="J346" s="407"/>
    </row>
    <row r="347" spans="1:10" ht="15" customHeight="1">
      <c r="A347" s="429">
        <v>17.682658959537601</v>
      </c>
      <c r="B347" s="478" t="s">
        <v>1347</v>
      </c>
      <c r="C347" s="131" t="s">
        <v>1348</v>
      </c>
      <c r="D347" s="428" t="s">
        <v>4</v>
      </c>
      <c r="E347" s="498">
        <v>8</v>
      </c>
      <c r="F347" s="437"/>
      <c r="G347" s="541" t="s">
        <v>1014</v>
      </c>
      <c r="H347" s="456"/>
      <c r="I347" s="430">
        <v>0</v>
      </c>
      <c r="J347" s="407"/>
    </row>
    <row r="348" spans="1:10" ht="15" customHeight="1">
      <c r="A348" s="429">
        <v>17.762042389209999</v>
      </c>
      <c r="B348" s="478" t="s">
        <v>1324</v>
      </c>
      <c r="C348" s="131" t="s">
        <v>1325</v>
      </c>
      <c r="D348" s="443"/>
      <c r="E348" s="443"/>
      <c r="F348" s="437"/>
      <c r="G348" s="541" t="s">
        <v>1014</v>
      </c>
      <c r="H348" s="505"/>
      <c r="I348" s="510">
        <v>0</v>
      </c>
      <c r="J348" s="407" t="s">
        <v>1339</v>
      </c>
    </row>
    <row r="349" spans="1:10" ht="15" customHeight="1">
      <c r="A349" s="429">
        <v>17.841425818882499</v>
      </c>
      <c r="B349" s="478" t="s">
        <v>1326</v>
      </c>
      <c r="C349" s="131" t="s">
        <v>1327</v>
      </c>
      <c r="D349" s="428" t="s">
        <v>1349</v>
      </c>
      <c r="E349" s="498">
        <v>3</v>
      </c>
      <c r="F349" s="437"/>
      <c r="G349" s="541" t="s">
        <v>1014</v>
      </c>
      <c r="H349" s="456"/>
      <c r="I349" s="430">
        <v>0</v>
      </c>
      <c r="J349" s="407"/>
    </row>
    <row r="350" spans="1:10" s="414" customFormat="1" ht="28.5">
      <c r="A350" s="488">
        <v>17.9208092485549</v>
      </c>
      <c r="B350" s="478" t="s">
        <v>1328</v>
      </c>
      <c r="C350" s="131" t="s">
        <v>1350</v>
      </c>
      <c r="D350" s="487" t="s">
        <v>4</v>
      </c>
      <c r="E350" s="471">
        <v>10</v>
      </c>
      <c r="F350" s="437"/>
      <c r="G350" s="540" t="s">
        <v>1014</v>
      </c>
      <c r="H350" s="506"/>
      <c r="I350" s="511">
        <v>0</v>
      </c>
      <c r="J350" s="507"/>
    </row>
    <row r="351" spans="1:10" ht="15" customHeight="1">
      <c r="A351" s="429">
        <v>18.0001926782274</v>
      </c>
      <c r="B351" s="420" t="s">
        <v>1330</v>
      </c>
      <c r="C351" s="443"/>
      <c r="D351" s="512" t="s">
        <v>4</v>
      </c>
      <c r="E351" s="513">
        <v>10</v>
      </c>
      <c r="F351" s="439"/>
      <c r="G351" s="541" t="s">
        <v>1014</v>
      </c>
      <c r="H351" s="514"/>
      <c r="I351" s="515">
        <v>0</v>
      </c>
      <c r="J351" s="407" t="s">
        <v>1338</v>
      </c>
    </row>
    <row r="352" spans="1:10" ht="5.25" customHeight="1">
      <c r="A352" s="516"/>
      <c r="B352" s="516"/>
      <c r="C352" s="516"/>
      <c r="D352" s="516"/>
      <c r="E352" s="516"/>
      <c r="F352" s="516"/>
      <c r="G352" s="516"/>
      <c r="H352" s="516"/>
      <c r="I352" s="500"/>
      <c r="J352" s="407"/>
    </row>
    <row r="353" spans="1:10">
      <c r="A353" s="419">
        <v>16</v>
      </c>
      <c r="B353" s="491" t="s">
        <v>1351</v>
      </c>
      <c r="C353" s="492"/>
      <c r="D353" s="492"/>
      <c r="E353" s="492"/>
      <c r="F353" s="493"/>
      <c r="G353" s="423"/>
      <c r="H353" s="423"/>
      <c r="I353" s="424"/>
      <c r="J353" s="407"/>
    </row>
    <row r="354" spans="1:10">
      <c r="A354" s="503">
        <v>16.100000000000001</v>
      </c>
      <c r="B354" s="517" t="s">
        <v>268</v>
      </c>
      <c r="C354" s="518" t="s">
        <v>1352</v>
      </c>
      <c r="D354" s="504"/>
      <c r="E354" s="519">
        <v>1</v>
      </c>
      <c r="F354" s="436" t="s">
        <v>1353</v>
      </c>
      <c r="G354" s="520">
        <v>1</v>
      </c>
      <c r="H354" s="521"/>
      <c r="I354" s="520">
        <v>1</v>
      </c>
      <c r="J354" s="522"/>
    </row>
    <row r="355" spans="1:10" ht="15" customHeight="1">
      <c r="A355" s="503">
        <v>16.2</v>
      </c>
      <c r="B355" s="517" t="s">
        <v>1354</v>
      </c>
      <c r="C355" s="518" t="s">
        <v>1355</v>
      </c>
      <c r="D355" s="428" t="s">
        <v>4</v>
      </c>
      <c r="E355" s="519">
        <v>25</v>
      </c>
      <c r="F355" s="438"/>
      <c r="G355" s="520">
        <v>25</v>
      </c>
      <c r="H355" s="521"/>
      <c r="I355" s="520">
        <v>23</v>
      </c>
      <c r="J355" s="522"/>
    </row>
    <row r="356" spans="1:10">
      <c r="A356" s="503">
        <v>16.3</v>
      </c>
      <c r="B356" s="517" t="s">
        <v>276</v>
      </c>
      <c r="C356" s="518" t="s">
        <v>336</v>
      </c>
      <c r="D356" s="512" t="s">
        <v>4</v>
      </c>
      <c r="E356" s="519">
        <v>1</v>
      </c>
      <c r="F356" s="438"/>
      <c r="G356" s="520">
        <v>1</v>
      </c>
      <c r="H356" s="521"/>
      <c r="I356" s="520">
        <v>1</v>
      </c>
      <c r="J356" s="522"/>
    </row>
    <row r="357" spans="1:10">
      <c r="A357" s="503">
        <v>16.399999999999999</v>
      </c>
      <c r="B357" s="517" t="s">
        <v>276</v>
      </c>
      <c r="C357" s="518" t="s">
        <v>337</v>
      </c>
      <c r="D357" s="512" t="s">
        <v>4</v>
      </c>
      <c r="E357" s="519">
        <v>1</v>
      </c>
      <c r="F357" s="438"/>
      <c r="G357" s="520">
        <v>1</v>
      </c>
      <c r="H357" s="521"/>
      <c r="I357" s="520">
        <v>1</v>
      </c>
      <c r="J357" s="522"/>
    </row>
    <row r="358" spans="1:10">
      <c r="A358" s="503">
        <v>16.5</v>
      </c>
      <c r="B358" s="517" t="s">
        <v>276</v>
      </c>
      <c r="C358" s="518" t="s">
        <v>338</v>
      </c>
      <c r="D358" s="512" t="s">
        <v>4</v>
      </c>
      <c r="E358" s="519">
        <v>1</v>
      </c>
      <c r="F358" s="438"/>
      <c r="G358" s="520">
        <v>1</v>
      </c>
      <c r="H358" s="521"/>
      <c r="I358" s="520">
        <v>1</v>
      </c>
      <c r="J358" s="522"/>
    </row>
    <row r="359" spans="1:10">
      <c r="A359" s="503">
        <v>16.600000000000001</v>
      </c>
      <c r="B359" s="517" t="s">
        <v>276</v>
      </c>
      <c r="C359" s="518" t="s">
        <v>339</v>
      </c>
      <c r="D359" s="512" t="s">
        <v>4</v>
      </c>
      <c r="E359" s="523">
        <v>1</v>
      </c>
      <c r="F359" s="438"/>
      <c r="G359" s="524">
        <v>1</v>
      </c>
      <c r="H359" s="521"/>
      <c r="I359" s="524">
        <v>1</v>
      </c>
      <c r="J359" s="522"/>
    </row>
    <row r="360" spans="1:10">
      <c r="A360" s="575">
        <v>16.7</v>
      </c>
      <c r="B360" s="576" t="s">
        <v>276</v>
      </c>
      <c r="C360" s="577" t="s">
        <v>1356</v>
      </c>
      <c r="D360" s="578" t="s">
        <v>4</v>
      </c>
      <c r="E360" s="579">
        <v>2</v>
      </c>
      <c r="F360" s="438"/>
      <c r="G360" s="574" t="s">
        <v>1014</v>
      </c>
      <c r="H360" s="521"/>
      <c r="I360" s="520">
        <v>2</v>
      </c>
      <c r="J360" s="522"/>
    </row>
    <row r="361" spans="1:10">
      <c r="A361" s="503">
        <v>16.8</v>
      </c>
      <c r="B361" s="517" t="s">
        <v>277</v>
      </c>
      <c r="C361" s="518" t="s">
        <v>340</v>
      </c>
      <c r="D361" s="512" t="s">
        <v>4</v>
      </c>
      <c r="E361" s="525">
        <v>4</v>
      </c>
      <c r="F361" s="438"/>
      <c r="G361" s="526">
        <v>4</v>
      </c>
      <c r="H361" s="521"/>
      <c r="I361" s="526">
        <v>4</v>
      </c>
      <c r="J361" s="522"/>
    </row>
    <row r="362" spans="1:10">
      <c r="A362" s="503">
        <v>16.899999999999999</v>
      </c>
      <c r="B362" s="517" t="s">
        <v>278</v>
      </c>
      <c r="C362" s="518" t="s">
        <v>1357</v>
      </c>
      <c r="D362" s="512" t="s">
        <v>4</v>
      </c>
      <c r="E362" s="519">
        <v>1</v>
      </c>
      <c r="F362" s="438"/>
      <c r="G362" s="520">
        <v>1</v>
      </c>
      <c r="H362" s="521"/>
      <c r="I362" s="520">
        <v>1</v>
      </c>
      <c r="J362" s="522"/>
    </row>
    <row r="363" spans="1:10">
      <c r="A363" s="527">
        <v>16.100000000000001</v>
      </c>
      <c r="B363" s="517" t="s">
        <v>278</v>
      </c>
      <c r="C363" s="518" t="s">
        <v>1358</v>
      </c>
      <c r="D363" s="512" t="s">
        <v>4</v>
      </c>
      <c r="E363" s="519">
        <v>1</v>
      </c>
      <c r="F363" s="438"/>
      <c r="G363" s="520">
        <v>1</v>
      </c>
      <c r="H363" s="521"/>
      <c r="I363" s="520">
        <v>1</v>
      </c>
      <c r="J363" s="522"/>
    </row>
    <row r="364" spans="1:10">
      <c r="A364" s="527">
        <v>16.11</v>
      </c>
      <c r="B364" s="517" t="s">
        <v>279</v>
      </c>
      <c r="C364" s="518" t="s">
        <v>1359</v>
      </c>
      <c r="D364" s="512" t="s">
        <v>4</v>
      </c>
      <c r="E364" s="519">
        <v>1</v>
      </c>
      <c r="F364" s="438"/>
      <c r="G364" s="520">
        <v>1</v>
      </c>
      <c r="H364" s="521"/>
      <c r="I364" s="520">
        <v>1</v>
      </c>
      <c r="J364" s="522"/>
    </row>
    <row r="365" spans="1:10">
      <c r="A365" s="527">
        <v>16.12</v>
      </c>
      <c r="B365" s="517" t="s">
        <v>280</v>
      </c>
      <c r="C365" s="518" t="s">
        <v>344</v>
      </c>
      <c r="D365" s="512" t="s">
        <v>4</v>
      </c>
      <c r="E365" s="519">
        <v>1</v>
      </c>
      <c r="F365" s="438"/>
      <c r="G365" s="520">
        <v>1</v>
      </c>
      <c r="H365" s="521"/>
      <c r="I365" s="520">
        <v>1</v>
      </c>
      <c r="J365" s="522"/>
    </row>
    <row r="366" spans="1:10">
      <c r="A366" s="527">
        <v>16.13</v>
      </c>
      <c r="B366" s="517" t="s">
        <v>280</v>
      </c>
      <c r="C366" s="518" t="s">
        <v>345</v>
      </c>
      <c r="D366" s="512" t="s">
        <v>4</v>
      </c>
      <c r="E366" s="519">
        <v>2</v>
      </c>
      <c r="F366" s="438"/>
      <c r="G366" s="520">
        <v>2</v>
      </c>
      <c r="H366" s="521"/>
      <c r="I366" s="520">
        <v>2</v>
      </c>
      <c r="J366" s="522"/>
    </row>
    <row r="367" spans="1:10">
      <c r="A367" s="528">
        <v>16.14</v>
      </c>
      <c r="B367" s="517" t="s">
        <v>281</v>
      </c>
      <c r="C367" s="518" t="s">
        <v>1360</v>
      </c>
      <c r="D367" s="512" t="s">
        <v>4</v>
      </c>
      <c r="E367" s="519">
        <v>1</v>
      </c>
      <c r="F367" s="438"/>
      <c r="G367" s="520">
        <v>1</v>
      </c>
      <c r="H367" s="529"/>
      <c r="I367" s="520">
        <v>1</v>
      </c>
      <c r="J367" s="522"/>
    </row>
    <row r="368" spans="1:10">
      <c r="A368" s="527">
        <v>16.149999999999999</v>
      </c>
      <c r="B368" s="517" t="s">
        <v>281</v>
      </c>
      <c r="C368" s="518" t="s">
        <v>346</v>
      </c>
      <c r="D368" s="428" t="s">
        <v>4</v>
      </c>
      <c r="E368" s="530">
        <v>2</v>
      </c>
      <c r="F368" s="531" t="s">
        <v>1353</v>
      </c>
      <c r="G368" s="526">
        <v>2</v>
      </c>
      <c r="H368" s="521"/>
      <c r="I368" s="526">
        <v>2</v>
      </c>
      <c r="J368" s="522"/>
    </row>
    <row r="369" spans="1:10" ht="15" customHeight="1">
      <c r="A369" s="527">
        <v>16.16</v>
      </c>
      <c r="B369" s="517" t="s">
        <v>280</v>
      </c>
      <c r="C369" s="518" t="s">
        <v>347</v>
      </c>
      <c r="D369" s="428" t="s">
        <v>4</v>
      </c>
      <c r="E369" s="532">
        <v>3</v>
      </c>
      <c r="F369" s="531"/>
      <c r="G369" s="520">
        <v>3</v>
      </c>
      <c r="H369" s="521"/>
      <c r="I369" s="520">
        <v>3</v>
      </c>
      <c r="J369" s="522"/>
    </row>
    <row r="370" spans="1:10">
      <c r="A370" s="527">
        <v>16.170000000000002</v>
      </c>
      <c r="B370" s="517" t="s">
        <v>280</v>
      </c>
      <c r="C370" s="518" t="s">
        <v>1361</v>
      </c>
      <c r="D370" s="428" t="s">
        <v>4</v>
      </c>
      <c r="E370" s="532">
        <v>5</v>
      </c>
      <c r="F370" s="531"/>
      <c r="G370" s="520">
        <v>5</v>
      </c>
      <c r="H370" s="521"/>
      <c r="I370" s="520">
        <v>5</v>
      </c>
      <c r="J370" s="522"/>
    </row>
    <row r="371" spans="1:10">
      <c r="A371" s="527">
        <v>16.18</v>
      </c>
      <c r="B371" s="517" t="s">
        <v>282</v>
      </c>
      <c r="C371" s="518" t="s">
        <v>1362</v>
      </c>
      <c r="D371" s="428" t="s">
        <v>4</v>
      </c>
      <c r="E371" s="532">
        <v>2</v>
      </c>
      <c r="F371" s="531"/>
      <c r="G371" s="520">
        <v>2</v>
      </c>
      <c r="H371" s="521"/>
      <c r="I371" s="520">
        <v>2</v>
      </c>
      <c r="J371" s="522"/>
    </row>
    <row r="372" spans="1:10">
      <c r="A372" s="527">
        <v>16.190000000000001</v>
      </c>
      <c r="B372" s="517" t="s">
        <v>1363</v>
      </c>
      <c r="C372" s="518" t="s">
        <v>1364</v>
      </c>
      <c r="D372" s="428" t="s">
        <v>4</v>
      </c>
      <c r="E372" s="532">
        <v>1</v>
      </c>
      <c r="F372" s="531"/>
      <c r="G372" s="520">
        <v>1</v>
      </c>
      <c r="H372" s="521"/>
      <c r="I372" s="520">
        <v>1</v>
      </c>
      <c r="J372" s="522"/>
    </row>
    <row r="373" spans="1:10">
      <c r="A373" s="527">
        <v>16.2</v>
      </c>
      <c r="B373" s="517" t="s">
        <v>283</v>
      </c>
      <c r="C373" s="518" t="s">
        <v>1365</v>
      </c>
      <c r="D373" s="428" t="s">
        <v>4</v>
      </c>
      <c r="E373" s="532">
        <v>1</v>
      </c>
      <c r="F373" s="531"/>
      <c r="G373" s="520">
        <v>1</v>
      </c>
      <c r="H373" s="521"/>
      <c r="I373" s="520">
        <v>1</v>
      </c>
      <c r="J373" s="522"/>
    </row>
    <row r="374" spans="1:10">
      <c r="A374" s="527">
        <v>16.21</v>
      </c>
      <c r="B374" s="517" t="s">
        <v>1366</v>
      </c>
      <c r="C374" s="518" t="s">
        <v>1367</v>
      </c>
      <c r="D374" s="428" t="s">
        <v>4</v>
      </c>
      <c r="E374" s="533">
        <v>2</v>
      </c>
      <c r="F374" s="531"/>
      <c r="G374" s="524">
        <v>2</v>
      </c>
      <c r="H374" s="521"/>
      <c r="I374" s="524">
        <v>2</v>
      </c>
      <c r="J374" s="522"/>
    </row>
    <row r="375" spans="1:10">
      <c r="A375" s="527">
        <v>16.22</v>
      </c>
      <c r="B375" s="517" t="s">
        <v>1366</v>
      </c>
      <c r="C375" s="518" t="s">
        <v>1368</v>
      </c>
      <c r="D375" s="428" t="s">
        <v>4</v>
      </c>
      <c r="E375" s="533">
        <v>2</v>
      </c>
      <c r="F375" s="531"/>
      <c r="G375" s="524">
        <v>2</v>
      </c>
      <c r="H375" s="521"/>
      <c r="I375" s="524">
        <v>2</v>
      </c>
      <c r="J375" s="522"/>
    </row>
    <row r="376" spans="1:10">
      <c r="A376" s="527">
        <v>16.23</v>
      </c>
      <c r="B376" s="517" t="s">
        <v>1366</v>
      </c>
      <c r="C376" s="518" t="s">
        <v>1369</v>
      </c>
      <c r="D376" s="428" t="s">
        <v>4</v>
      </c>
      <c r="E376" s="533">
        <v>2</v>
      </c>
      <c r="F376" s="531"/>
      <c r="G376" s="524">
        <v>2</v>
      </c>
      <c r="H376" s="521"/>
      <c r="I376" s="524">
        <v>2</v>
      </c>
      <c r="J376" s="522"/>
    </row>
    <row r="377" spans="1:10">
      <c r="A377" s="527">
        <v>16.239999999999998</v>
      </c>
      <c r="B377" s="517" t="s">
        <v>268</v>
      </c>
      <c r="C377" s="518" t="s">
        <v>354</v>
      </c>
      <c r="D377" s="428" t="s">
        <v>4</v>
      </c>
      <c r="E377" s="532">
        <v>2</v>
      </c>
      <c r="F377" s="531"/>
      <c r="G377" s="520">
        <v>2</v>
      </c>
      <c r="H377" s="521"/>
      <c r="I377" s="520">
        <v>2</v>
      </c>
      <c r="J377" s="522"/>
    </row>
    <row r="378" spans="1:10">
      <c r="A378" s="527">
        <v>16.25</v>
      </c>
      <c r="B378" s="517" t="s">
        <v>268</v>
      </c>
      <c r="C378" s="518" t="s">
        <v>355</v>
      </c>
      <c r="D378" s="428" t="s">
        <v>4</v>
      </c>
      <c r="E378" s="532">
        <v>1</v>
      </c>
      <c r="F378" s="531"/>
      <c r="G378" s="520">
        <v>1</v>
      </c>
      <c r="H378" s="521"/>
      <c r="I378" s="520">
        <v>1</v>
      </c>
      <c r="J378" s="522"/>
    </row>
    <row r="379" spans="1:10">
      <c r="A379" s="527">
        <v>16.260000000000002</v>
      </c>
      <c r="B379" s="517" t="s">
        <v>284</v>
      </c>
      <c r="C379" s="518" t="s">
        <v>356</v>
      </c>
      <c r="D379" s="428" t="s">
        <v>4</v>
      </c>
      <c r="E379" s="532">
        <v>1</v>
      </c>
      <c r="F379" s="531"/>
      <c r="G379" s="520">
        <v>1</v>
      </c>
      <c r="H379" s="521"/>
      <c r="I379" s="520">
        <v>1</v>
      </c>
      <c r="J379" s="522"/>
    </row>
    <row r="380" spans="1:10">
      <c r="A380" s="534">
        <v>16.27</v>
      </c>
      <c r="B380" s="470" t="s">
        <v>1370</v>
      </c>
      <c r="C380" s="131" t="s">
        <v>1371</v>
      </c>
      <c r="D380" s="487" t="s">
        <v>4</v>
      </c>
      <c r="E380" s="535">
        <v>2</v>
      </c>
      <c r="F380" s="531"/>
      <c r="G380" s="536">
        <v>2</v>
      </c>
      <c r="H380" s="521"/>
      <c r="I380" s="536">
        <v>2</v>
      </c>
      <c r="J380" s="536"/>
    </row>
    <row r="381" spans="1:10">
      <c r="A381" s="527">
        <v>16.28</v>
      </c>
      <c r="B381" s="537" t="s">
        <v>1372</v>
      </c>
      <c r="C381" s="429" t="s">
        <v>358</v>
      </c>
      <c r="D381" s="423" t="s">
        <v>4</v>
      </c>
      <c r="E381" s="537">
        <v>2</v>
      </c>
      <c r="F381" s="531"/>
      <c r="G381" s="488">
        <v>2</v>
      </c>
      <c r="H381" s="521"/>
      <c r="I381" s="488">
        <v>2</v>
      </c>
      <c r="J381" s="538"/>
    </row>
    <row r="382" spans="1:10">
      <c r="A382" s="527">
        <v>16.29</v>
      </c>
      <c r="B382" s="517" t="s">
        <v>287</v>
      </c>
      <c r="C382" s="518" t="s">
        <v>1373</v>
      </c>
      <c r="D382" s="428" t="s">
        <v>4</v>
      </c>
      <c r="E382" s="532">
        <v>7</v>
      </c>
      <c r="F382" s="531"/>
      <c r="G382" s="520">
        <v>7</v>
      </c>
      <c r="H382" s="521"/>
      <c r="I382" s="520">
        <v>7</v>
      </c>
      <c r="J382" s="522"/>
    </row>
    <row r="383" spans="1:10">
      <c r="A383" s="527">
        <v>16.3</v>
      </c>
      <c r="B383" s="517" t="s">
        <v>287</v>
      </c>
      <c r="C383" s="518" t="s">
        <v>1374</v>
      </c>
      <c r="D383" s="428" t="s">
        <v>4</v>
      </c>
      <c r="E383" s="532">
        <v>3</v>
      </c>
      <c r="F383" s="531"/>
      <c r="G383" s="520">
        <v>3</v>
      </c>
      <c r="H383" s="521"/>
      <c r="I383" s="520">
        <v>3</v>
      </c>
      <c r="J383" s="522"/>
    </row>
    <row r="384" spans="1:10">
      <c r="A384" s="527">
        <v>16.309999999999999</v>
      </c>
      <c r="B384" s="517" t="s">
        <v>374</v>
      </c>
      <c r="C384" s="518" t="s">
        <v>1375</v>
      </c>
      <c r="D384" s="428" t="s">
        <v>4</v>
      </c>
      <c r="E384" s="530">
        <v>2</v>
      </c>
      <c r="F384" s="531"/>
      <c r="G384" s="526">
        <v>2</v>
      </c>
      <c r="H384" s="521"/>
      <c r="I384" s="526">
        <v>2</v>
      </c>
      <c r="J384" s="522"/>
    </row>
    <row r="385" spans="1:10">
      <c r="A385" s="527">
        <v>16.32</v>
      </c>
      <c r="B385" s="517" t="s">
        <v>1354</v>
      </c>
      <c r="C385" s="518" t="s">
        <v>362</v>
      </c>
      <c r="D385" s="428" t="s">
        <v>4</v>
      </c>
      <c r="E385" s="532">
        <v>6</v>
      </c>
      <c r="F385" s="531"/>
      <c r="G385" s="520">
        <v>6</v>
      </c>
      <c r="H385" s="521"/>
      <c r="I385" s="520">
        <v>6</v>
      </c>
      <c r="J385" s="522"/>
    </row>
    <row r="386" spans="1:10">
      <c r="A386" s="527">
        <v>16.329999999999998</v>
      </c>
      <c r="B386" s="517" t="s">
        <v>1354</v>
      </c>
      <c r="C386" s="518" t="s">
        <v>363</v>
      </c>
      <c r="D386" s="428" t="s">
        <v>4</v>
      </c>
      <c r="E386" s="530">
        <v>5</v>
      </c>
      <c r="F386" s="531"/>
      <c r="G386" s="526">
        <v>5</v>
      </c>
      <c r="H386" s="521"/>
      <c r="I386" s="526">
        <v>5</v>
      </c>
      <c r="J386" s="522"/>
    </row>
    <row r="387" spans="1:10">
      <c r="A387" s="527">
        <v>16.34</v>
      </c>
      <c r="B387" s="517" t="s">
        <v>268</v>
      </c>
      <c r="C387" s="518" t="s">
        <v>1376</v>
      </c>
      <c r="D387" s="428" t="s">
        <v>4</v>
      </c>
      <c r="E387" s="532">
        <v>1</v>
      </c>
      <c r="F387" s="531"/>
      <c r="G387" s="520">
        <v>1</v>
      </c>
      <c r="H387" s="521"/>
      <c r="I387" s="520">
        <v>1</v>
      </c>
      <c r="J387" s="522"/>
    </row>
    <row r="388" spans="1:10">
      <c r="A388" s="527">
        <v>16.350000000000001</v>
      </c>
      <c r="B388" s="517" t="s">
        <v>276</v>
      </c>
      <c r="C388" s="518" t="s">
        <v>50</v>
      </c>
      <c r="D388" s="428" t="s">
        <v>4</v>
      </c>
      <c r="E388" s="532">
        <v>50</v>
      </c>
      <c r="F388" s="531"/>
      <c r="G388" s="520">
        <v>50</v>
      </c>
      <c r="H388" s="521"/>
      <c r="I388" s="520">
        <v>50</v>
      </c>
      <c r="J388" s="522"/>
    </row>
    <row r="389" spans="1:10">
      <c r="A389" s="527">
        <v>16.3599999999999</v>
      </c>
      <c r="B389" s="517" t="s">
        <v>276</v>
      </c>
      <c r="C389" s="518" t="s">
        <v>365</v>
      </c>
      <c r="D389" s="428" t="s">
        <v>4</v>
      </c>
      <c r="E389" s="530">
        <v>40</v>
      </c>
      <c r="F389" s="531"/>
      <c r="G389" s="526">
        <v>40</v>
      </c>
      <c r="H389" s="521"/>
      <c r="I389" s="526">
        <v>40</v>
      </c>
      <c r="J389" s="522"/>
    </row>
    <row r="390" spans="1:10" ht="15" customHeight="1">
      <c r="A390" s="527">
        <v>16.369999999999902</v>
      </c>
      <c r="B390" s="517" t="s">
        <v>289</v>
      </c>
      <c r="C390" s="518" t="s">
        <v>366</v>
      </c>
      <c r="D390" s="428" t="s">
        <v>4</v>
      </c>
      <c r="E390" s="532">
        <v>15</v>
      </c>
      <c r="F390" s="531"/>
      <c r="G390" s="520">
        <v>15</v>
      </c>
      <c r="H390" s="521"/>
      <c r="I390" s="520">
        <v>15</v>
      </c>
      <c r="J390" s="522"/>
    </row>
    <row r="391" spans="1:10" ht="15" customHeight="1">
      <c r="A391" s="527">
        <v>16.3799999999999</v>
      </c>
      <c r="B391" s="517" t="s">
        <v>290</v>
      </c>
      <c r="C391" s="518" t="s">
        <v>367</v>
      </c>
      <c r="D391" s="428" t="s">
        <v>4</v>
      </c>
      <c r="E391" s="533">
        <v>1</v>
      </c>
      <c r="F391" s="531"/>
      <c r="G391" s="524">
        <v>1</v>
      </c>
      <c r="H391" s="521"/>
      <c r="I391" s="524">
        <v>1</v>
      </c>
      <c r="J391" s="522"/>
    </row>
    <row r="392" spans="1:10" ht="15" customHeight="1">
      <c r="A392" s="527">
        <v>16.389999999999901</v>
      </c>
      <c r="B392" s="517" t="s">
        <v>291</v>
      </c>
      <c r="C392" s="518" t="s">
        <v>368</v>
      </c>
      <c r="D392" s="428" t="s">
        <v>4</v>
      </c>
      <c r="E392" s="532">
        <v>3</v>
      </c>
      <c r="F392" s="531"/>
      <c r="G392" s="520">
        <v>3</v>
      </c>
      <c r="H392" s="521"/>
      <c r="I392" s="520">
        <v>3</v>
      </c>
      <c r="J392" s="522"/>
    </row>
    <row r="393" spans="1:10" ht="15" customHeight="1">
      <c r="A393" s="527">
        <v>16.399999999999899</v>
      </c>
      <c r="B393" s="517" t="s">
        <v>1377</v>
      </c>
      <c r="C393" s="518" t="s">
        <v>1378</v>
      </c>
      <c r="D393" s="428" t="s">
        <v>4</v>
      </c>
      <c r="E393" s="530">
        <v>2</v>
      </c>
      <c r="F393" s="531"/>
      <c r="G393" s="526">
        <v>2</v>
      </c>
      <c r="H393" s="521"/>
      <c r="I393" s="526">
        <v>2</v>
      </c>
      <c r="J393" s="522"/>
    </row>
    <row r="394" spans="1:10">
      <c r="A394" s="527">
        <v>16.409999999999901</v>
      </c>
      <c r="B394" s="517" t="s">
        <v>1379</v>
      </c>
      <c r="C394" s="518" t="s">
        <v>1380</v>
      </c>
      <c r="D394" s="428" t="s">
        <v>4</v>
      </c>
      <c r="E394" s="533">
        <v>1</v>
      </c>
      <c r="F394" s="423"/>
      <c r="G394" s="524">
        <v>1</v>
      </c>
      <c r="H394" s="521"/>
      <c r="I394" s="524">
        <v>1</v>
      </c>
      <c r="J394" s="522"/>
    </row>
    <row r="395" spans="1:10">
      <c r="A395" s="527">
        <v>16.419999999999899</v>
      </c>
      <c r="B395" s="517" t="s">
        <v>292</v>
      </c>
      <c r="C395" s="518" t="s">
        <v>1381</v>
      </c>
      <c r="D395" s="428" t="s">
        <v>4</v>
      </c>
      <c r="E395" s="532">
        <v>1</v>
      </c>
      <c r="F395" s="423"/>
      <c r="G395" s="520">
        <v>1</v>
      </c>
      <c r="H395" s="521"/>
      <c r="I395" s="520">
        <v>1</v>
      </c>
      <c r="J395" s="522"/>
    </row>
    <row r="396" spans="1:10">
      <c r="A396" s="527">
        <v>16.4299999999999</v>
      </c>
      <c r="B396" s="517" t="s">
        <v>1354</v>
      </c>
      <c r="C396" s="518" t="s">
        <v>370</v>
      </c>
      <c r="D396" s="428" t="s">
        <v>4</v>
      </c>
      <c r="E396" s="532">
        <v>5</v>
      </c>
      <c r="F396" s="423"/>
      <c r="G396" s="520">
        <v>5</v>
      </c>
      <c r="H396" s="521"/>
      <c r="I396" s="520">
        <v>5</v>
      </c>
      <c r="J396" s="522"/>
    </row>
    <row r="397" spans="1:10">
      <c r="A397" s="527">
        <v>16.439999999999898</v>
      </c>
      <c r="B397" s="517" t="s">
        <v>277</v>
      </c>
      <c r="C397" s="518" t="s">
        <v>371</v>
      </c>
      <c r="D397" s="428" t="s">
        <v>4</v>
      </c>
      <c r="E397" s="533">
        <v>2</v>
      </c>
      <c r="F397" s="423"/>
      <c r="G397" s="524">
        <v>2</v>
      </c>
      <c r="H397" s="521"/>
      <c r="I397" s="524">
        <v>2</v>
      </c>
      <c r="J397" s="522"/>
    </row>
    <row r="398" spans="1:10">
      <c r="A398" s="527">
        <v>16.4499999999999</v>
      </c>
      <c r="B398" s="517" t="s">
        <v>1382</v>
      </c>
      <c r="C398" s="518" t="s">
        <v>372</v>
      </c>
      <c r="D398" s="428" t="s">
        <v>4</v>
      </c>
      <c r="E398" s="533">
        <v>1</v>
      </c>
      <c r="F398" s="423"/>
      <c r="G398" s="524">
        <v>1</v>
      </c>
      <c r="H398" s="521"/>
      <c r="I398" s="524">
        <v>1</v>
      </c>
      <c r="J398" s="522"/>
    </row>
    <row r="399" spans="1:10">
      <c r="A399" s="580">
        <v>16.459999999999901</v>
      </c>
      <c r="B399" s="576" t="s">
        <v>1383</v>
      </c>
      <c r="C399" s="577" t="s">
        <v>1384</v>
      </c>
      <c r="D399" s="581" t="s">
        <v>4</v>
      </c>
      <c r="E399" s="582">
        <v>1</v>
      </c>
      <c r="F399" s="583"/>
      <c r="G399" s="540" t="s">
        <v>1014</v>
      </c>
      <c r="H399" s="584"/>
      <c r="I399" s="585">
        <v>0</v>
      </c>
      <c r="J399" s="522"/>
    </row>
  </sheetData>
  <autoFilter ref="G1:G399" xr:uid="{E0A083D0-D6BA-4900-985C-78D0474F0AE3}"/>
  <mergeCells count="47">
    <mergeCell ref="F313:F351"/>
    <mergeCell ref="G323:J323"/>
    <mergeCell ref="A352:I352"/>
    <mergeCell ref="F354:F367"/>
    <mergeCell ref="F368:F393"/>
    <mergeCell ref="F275:F296"/>
    <mergeCell ref="F297:F306"/>
    <mergeCell ref="A307:I307"/>
    <mergeCell ref="F309:F311"/>
    <mergeCell ref="G309:G311"/>
    <mergeCell ref="A312:I312"/>
    <mergeCell ref="A170:I170"/>
    <mergeCell ref="F172:F229"/>
    <mergeCell ref="F230:F261"/>
    <mergeCell ref="F264:F273"/>
    <mergeCell ref="A274:I274"/>
    <mergeCell ref="A57:I57"/>
    <mergeCell ref="F60:F78"/>
    <mergeCell ref="F79:F98"/>
    <mergeCell ref="F122:F136"/>
    <mergeCell ref="A137:I137"/>
    <mergeCell ref="F139:F169"/>
    <mergeCell ref="F34:F40"/>
    <mergeCell ref="A41:I41"/>
    <mergeCell ref="F43:F49"/>
    <mergeCell ref="A50:I50"/>
    <mergeCell ref="F52:F56"/>
    <mergeCell ref="J52:J56"/>
    <mergeCell ref="F18:F23"/>
    <mergeCell ref="A24:I24"/>
    <mergeCell ref="F26:F31"/>
    <mergeCell ref="A32:I32"/>
    <mergeCell ref="I3:I6"/>
    <mergeCell ref="J3:J6"/>
    <mergeCell ref="A9:I9"/>
    <mergeCell ref="F11:F15"/>
    <mergeCell ref="A16:I16"/>
    <mergeCell ref="A1:I1"/>
    <mergeCell ref="A2:I2"/>
    <mergeCell ref="A3:A6"/>
    <mergeCell ref="B3:B6"/>
    <mergeCell ref="C3:C6"/>
    <mergeCell ref="D3:D6"/>
    <mergeCell ref="E3:E6"/>
    <mergeCell ref="F3:F6"/>
    <mergeCell ref="G3:G6"/>
    <mergeCell ref="H3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51614-8912-4F45-86FC-AB30183E4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VCC</vt:lpstr>
      <vt:lpstr>BRAKE</vt:lpstr>
      <vt:lpstr>COUPLER</vt:lpstr>
      <vt:lpstr>PAPIS &amp; CCTV</vt:lpstr>
      <vt:lpstr>INTERIOR LIGHT</vt:lpstr>
      <vt:lpstr>EXTERIOR LIGHT</vt:lpstr>
      <vt:lpstr>PRESSTON</vt:lpstr>
      <vt:lpstr>DOOR</vt:lpstr>
      <vt:lpstr>TRCC</vt:lpstr>
      <vt:lpstr>VAC</vt:lpstr>
      <vt:lpstr>AAL</vt:lpstr>
      <vt:lpstr>PROPULSION</vt:lpstr>
      <vt:lpstr>FDS</vt:lpstr>
      <vt:lpstr>BOGIE</vt:lpstr>
      <vt:lpstr>23.11.2021</vt:lpstr>
      <vt:lpstr>17.11.2021</vt:lpstr>
      <vt:lpstr>Issued__Date</vt:lpstr>
      <vt:lpstr>VAC!Print_Area</vt:lpstr>
      <vt:lpstr>VCC!Print_Area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BEML TNC PC4</dc:creator>
  <cp:lastModifiedBy>BEML TNC PC3</cp:lastModifiedBy>
  <cp:lastPrinted>2020-12-19T03:51:09Z</cp:lastPrinted>
  <dcterms:created xsi:type="dcterms:W3CDTF">2018-10-02T05:35:55Z</dcterms:created>
  <dcterms:modified xsi:type="dcterms:W3CDTF">2021-11-24T07:35:48Z</dcterms:modified>
</cp:coreProperties>
</file>